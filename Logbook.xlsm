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EstaPasta_de_trabalho" defaultThemeVersion="124226"/>
  <mc:AlternateContent xmlns:mc="http://schemas.openxmlformats.org/markup-compatibility/2006">
    <mc:Choice Requires="x15">
      <x15ac:absPath xmlns:x15ac="http://schemas.microsoft.com/office/spreadsheetml/2010/11/ac" url="C:\Users\rafael.lisboa\Desktop\"/>
    </mc:Choice>
  </mc:AlternateContent>
  <xr:revisionPtr revIDLastSave="0" documentId="13_ncr:1_{6CE010E2-1287-4D2E-8E61-360A37C5668A}" xr6:coauthVersionLast="44" xr6:coauthVersionMax="44" xr10:uidLastSave="{00000000-0000-0000-0000-000000000000}"/>
  <bookViews>
    <workbookView xWindow="-120" yWindow="-120" windowWidth="29040" windowHeight="15840" firstSheet="1" activeTab="1" xr2:uid="{00000000-000D-0000-FFFF-FFFF00000000}"/>
  </bookViews>
  <sheets>
    <sheet name="MENU" sheetId="4" state="veryHidden" r:id="rId1"/>
    <sheet name="DEV" sheetId="2" r:id="rId2"/>
    <sheet name="Aux_1" sheetId="5" state="veryHidden" r:id="rId3"/>
    <sheet name="Banco de Dados" sheetId="6" state="veryHidden" r:id="rId4"/>
    <sheet name="Conversao" sheetId="7" state="veryHidden" r:id="rId5"/>
  </sheets>
  <definedNames>
    <definedName name="_xlnm._FilterDatabase" localSheetId="3" hidden="1">'Banco de Dados'!$A$1:$N$288</definedName>
    <definedName name="_xlnm.Print_Area" localSheetId="3">'Banco de Dados'!$A$1:$N$119</definedName>
    <definedName name="_xlnm.Print_Area" localSheetId="1">DEV!$A$1:$H$20</definedName>
    <definedName name="_xlnm.Print_Area" localSheetId="0">MENU!$A$1:$Z$35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7" i="7" l="1"/>
  <c r="F16" i="7"/>
  <c r="F15" i="7" s="1"/>
  <c r="F14" i="7" s="1"/>
  <c r="F13" i="7" s="1"/>
  <c r="D16" i="7"/>
  <c r="D17" i="7" s="1"/>
  <c r="E15" i="7"/>
  <c r="E14" i="7" s="1"/>
  <c r="E13" i="7" s="1"/>
  <c r="C15" i="7"/>
  <c r="C16" i="7" s="1"/>
  <c r="C17" i="7" s="1"/>
  <c r="D14" i="7"/>
  <c r="B14" i="7"/>
  <c r="B15" i="7" s="1"/>
  <c r="B16" i="7" s="1"/>
  <c r="B17" i="7" s="1"/>
  <c r="C13" i="7"/>
  <c r="D13" i="7" s="1"/>
  <c r="E7" i="7"/>
  <c r="F6" i="7"/>
  <c r="F5" i="7" s="1"/>
  <c r="F4" i="7" s="1"/>
  <c r="F3" i="7" s="1"/>
  <c r="D6" i="7"/>
  <c r="D7" i="7" s="1"/>
  <c r="C6" i="7"/>
  <c r="C7" i="7" s="1"/>
  <c r="E5" i="7"/>
  <c r="E4" i="7" s="1"/>
  <c r="E3" i="7" s="1"/>
  <c r="D4" i="7"/>
  <c r="B4" i="7"/>
  <c r="B5" i="7" s="1"/>
  <c r="B6" i="7" s="1"/>
  <c r="B7" i="7" s="1"/>
  <c r="C3" i="7"/>
  <c r="D9" i="7" l="1"/>
  <c r="D19" i="7"/>
  <c r="D3" i="7"/>
</calcChain>
</file>

<file path=xl/sharedStrings.xml><?xml version="1.0" encoding="utf-8"?>
<sst xmlns="http://schemas.openxmlformats.org/spreadsheetml/2006/main" count="2283" uniqueCount="879">
  <si>
    <t>Diego Fernandes</t>
  </si>
  <si>
    <t>Thiago Manzoni</t>
  </si>
  <si>
    <t>Thiago Almeida</t>
  </si>
  <si>
    <t>thiagoa</t>
  </si>
  <si>
    <t>thiagom</t>
  </si>
  <si>
    <t>Jose Carlos</t>
  </si>
  <si>
    <t>Emerson Rossaneli</t>
  </si>
  <si>
    <t>emersonr</t>
  </si>
  <si>
    <t>Wellington Lopez</t>
  </si>
  <si>
    <t>wellingtonl</t>
  </si>
  <si>
    <t>Modelo</t>
  </si>
  <si>
    <t>Rafael Lisboa</t>
  </si>
  <si>
    <t>rafaell</t>
  </si>
  <si>
    <t>MAPLE SKL</t>
  </si>
  <si>
    <t>FT</t>
  </si>
  <si>
    <t>DESYNCRONIZED SIGNAL</t>
  </si>
  <si>
    <t>TROCA DE BGA / LGA</t>
  </si>
  <si>
    <t>BGA - CPU</t>
  </si>
  <si>
    <t>TULIP 14&amp;15 HSW &amp; BDW</t>
  </si>
  <si>
    <t>ICT</t>
  </si>
  <si>
    <t>SHORT</t>
  </si>
  <si>
    <t xml:space="preserve">FALLARON MT </t>
  </si>
  <si>
    <t>TROCA</t>
  </si>
  <si>
    <t>OTHER</t>
  </si>
  <si>
    <t xml:space="preserve">LOVELAND SKL </t>
  </si>
  <si>
    <t>TRANSISTOR / DIODO</t>
  </si>
  <si>
    <t>DOGFISH</t>
  </si>
  <si>
    <t>CORRUPTED FIRMWARE</t>
  </si>
  <si>
    <t>CONTROLADOR DE PERIFÉRICO</t>
  </si>
  <si>
    <t>LOTUS SFF &amp; TAHOE SFF</t>
  </si>
  <si>
    <t>REMOÇÃO</t>
  </si>
  <si>
    <t>TIGRIS SFF</t>
  </si>
  <si>
    <t>RESSOLDA</t>
  </si>
  <si>
    <t xml:space="preserve">BOMBSHELL - SHOCKWAVE  &amp; SEASPRAY </t>
  </si>
  <si>
    <t>WRONG FIRMWARE</t>
  </si>
  <si>
    <t>PROGRAMÁVEL - BIOS</t>
  </si>
  <si>
    <t>GOLIAD 14</t>
  </si>
  <si>
    <t>REGULADOR DE TENSÃO</t>
  </si>
  <si>
    <t xml:space="preserve"> </t>
  </si>
  <si>
    <t>CONECTOR</t>
  </si>
  <si>
    <t>HOUSTON 14</t>
  </si>
  <si>
    <t xml:space="preserve">COASTER </t>
  </si>
  <si>
    <t xml:space="preserve">COTTONWOOD SKL </t>
  </si>
  <si>
    <t>COMPONENTE PASSIVO / DISCRETO</t>
  </si>
  <si>
    <t>MISPLACED COMPONENT</t>
  </si>
  <si>
    <t>WHITEFISH SFF</t>
  </si>
  <si>
    <t>MISSING SIGNAL</t>
  </si>
  <si>
    <t>ORCHID SKL</t>
  </si>
  <si>
    <t>MISSING COMPONENT</t>
  </si>
  <si>
    <t>TITAN II HSW &amp; BDW</t>
  </si>
  <si>
    <t>OPEN</t>
  </si>
  <si>
    <t>INSERÇÃO</t>
  </si>
  <si>
    <t>BGA - OUTROS</t>
  </si>
  <si>
    <t>BGA - PCH</t>
  </si>
  <si>
    <t>QFP</t>
  </si>
  <si>
    <t>WRONG COMPONENT</t>
  </si>
  <si>
    <t>SIO</t>
  </si>
  <si>
    <t>ON-POWER CIRCUIT - A/MV</t>
  </si>
  <si>
    <t xml:space="preserve">TRIGGERFISH SFF </t>
  </si>
  <si>
    <t>WHITEFISH MICRO</t>
  </si>
  <si>
    <t>FINAL INSPECTION</t>
  </si>
  <si>
    <t>Estação</t>
  </si>
  <si>
    <t>Tipo</t>
  </si>
  <si>
    <t>TipoReparo</t>
  </si>
  <si>
    <t>Tecnico</t>
  </si>
  <si>
    <t>TipoComponente</t>
  </si>
  <si>
    <t>AVALON 3</t>
  </si>
  <si>
    <t>SWAP</t>
  </si>
  <si>
    <t>BGA - GPU</t>
  </si>
  <si>
    <t>LGA</t>
  </si>
  <si>
    <t xml:space="preserve">BLUEMOON - CHASSI &amp; PCBA </t>
  </si>
  <si>
    <t>CEDAR 14 HSW &amp; BDW</t>
  </si>
  <si>
    <t>WRONG SIGNAL</t>
  </si>
  <si>
    <t>REMOÇÃO DE BGA / LGA</t>
  </si>
  <si>
    <t>COTTONWOOD HSW &amp; BDW</t>
  </si>
  <si>
    <t>SWAP DE BGA / LGA</t>
  </si>
  <si>
    <t>BLANK FIRMWARE</t>
  </si>
  <si>
    <t>RESSOLDA DE BGA / LGA</t>
  </si>
  <si>
    <t>PROGRAMÁVEL - OUTROS</t>
  </si>
  <si>
    <t>CRISTAL</t>
  </si>
  <si>
    <t>GENERAL SFF</t>
  </si>
  <si>
    <t>DAMAGED COMPONENT</t>
  </si>
  <si>
    <t>DQFN</t>
  </si>
  <si>
    <t xml:space="preserve">JASMINE </t>
  </si>
  <si>
    <t>BGA - MEMÓRIA</t>
  </si>
  <si>
    <t xml:space="preserve">SWORDFISH MICRO </t>
  </si>
  <si>
    <t>SWORDFISH MT &amp; SFF</t>
  </si>
  <si>
    <t>TALON</t>
  </si>
  <si>
    <t>THUN</t>
  </si>
  <si>
    <t>TIGRIS AIO UMA</t>
  </si>
  <si>
    <t>STARLORD</t>
  </si>
  <si>
    <t>DRAX</t>
  </si>
  <si>
    <t>ASTRO</t>
  </si>
  <si>
    <t>GAMORA</t>
  </si>
  <si>
    <t>ORCHID KBL</t>
  </si>
  <si>
    <t>NomeSenha</t>
  </si>
  <si>
    <t>UsuarioSenha</t>
  </si>
  <si>
    <t>NumeroSenha</t>
  </si>
  <si>
    <t>BLACKFISH</t>
  </si>
  <si>
    <t>SAILFISH</t>
  </si>
  <si>
    <t>INDY</t>
  </si>
  <si>
    <t>PPID</t>
  </si>
  <si>
    <t>Semana</t>
  </si>
  <si>
    <t>Em que estação ocorreu a falha?</t>
  </si>
  <si>
    <t>Qual o tipo da falha?</t>
  </si>
  <si>
    <t>Sintomas principais:</t>
  </si>
  <si>
    <t>Quais sinais você aferiu? O que encontrou de diferente?</t>
  </si>
  <si>
    <t>Quais componentes você reparou?</t>
  </si>
  <si>
    <t>Que tipo de reparo foi realizado (reparo principal)?</t>
  </si>
  <si>
    <t>Outras Observações:</t>
  </si>
  <si>
    <t>Técnico Pleno:</t>
  </si>
  <si>
    <t>Componente Principal Ligado a falha:</t>
  </si>
  <si>
    <t>Informar link para imagem:</t>
  </si>
  <si>
    <t>Outros Componentes 
Reparados</t>
  </si>
  <si>
    <t>BR0J4NFV1081961U007PA01</t>
  </si>
  <si>
    <t>05/2016</t>
  </si>
  <si>
    <t xml:space="preserve">As falhas apontam sempre para os componentes PU9 e PU14, indicando curto circuito  nas malhas: #1364 e #1367 em relação ao GND._x000D_
</t>
  </si>
  <si>
    <t xml:space="preserve"> 1ª ação: Confirmação do defeito na aferição das malhas #1334 e #1367 em relação ao GND. Falha real e sem intermitências._x000D_
_x000D_
2ª ação: Verificação da solda do componente através da máquina de raio x, curto de solda confirmado entre os terminais dos componentes PU9 e PU14._x000D_
Na amostra, BR0J4NFV1081961U007PA01, o curto de solda foi constatado nos terminais 8 e 9 do componente PU9, curto circuitando o sinal PWR_CORE_PWM2_BST  em relação ao GND._x000D_
Nas amostras: BR0J4NFV1081961U0081A01 e BR0J4NFV10819621001AA01 o curto de solda foi constatado nos terminais 8 e 9 do componente PU14, curto circuitando o sinal PWR_CORE_PWM3_BST em relação ao GND._x000D_
_x000D_
3ª ação: Remoção e reinserção do mesmo componente, definindo assim que o componente não apresenta defeito, o defeito consiste no processo de soldagem._x000D_
</t>
  </si>
  <si>
    <t>PU9</t>
  </si>
  <si>
    <t>\\Brpcesfil01\Test_en$\17 - Debug\Analises\Tahoe - Curto de solda</t>
  </si>
  <si>
    <t>PU14</t>
  </si>
  <si>
    <t>BR0G8F2Y1081962G006DA00</t>
  </si>
  <si>
    <t>07/2016</t>
  </si>
  <si>
    <t>Falha de no vídeo pelo monitor de LCD.</t>
  </si>
  <si>
    <t>U5501</t>
  </si>
  <si>
    <t>BR0YD6JR1081963T0003A00</t>
  </si>
  <si>
    <t>13/2016</t>
  </si>
  <si>
    <t>Falha de curto na malha #30 em relação ao GND.</t>
  </si>
  <si>
    <t>PU3</t>
  </si>
  <si>
    <t>BR0YD6JR10819641003SA00</t>
  </si>
  <si>
    <t>Falha de curto na malha #6 em relação ao GND.</t>
  </si>
  <si>
    <t>Curto de solda entre os terminais 14 e 21, que correspondem aos sinais +5VSB e GND respectivamente.</t>
  </si>
  <si>
    <t>PU19</t>
  </si>
  <si>
    <t>\\Brpcesfil01\Test_en$\Análises Visuais - NPI\NPI FARALLON\DEFEITOS DE ICT\01 de abril de 2016\1º Turno\BR0YD6JR10819641003SA00</t>
  </si>
  <si>
    <t>BR02VNRY1081964400FUA00</t>
  </si>
  <si>
    <t>14/2016</t>
  </si>
  <si>
    <t>U30</t>
  </si>
  <si>
    <t>BR0WT51R1081964I0069A00</t>
  </si>
  <si>
    <t>18/2016</t>
  </si>
  <si>
    <t>UC1</t>
  </si>
  <si>
    <t>BR0M4Y411081965500K8A00</t>
  </si>
  <si>
    <t>Falha de curto na malha #44 em relação ao GND.</t>
  </si>
  <si>
    <t>CPU1</t>
  </si>
  <si>
    <t>BR0VRWRC108195BB009BA01</t>
  </si>
  <si>
    <t>19/2016</t>
  </si>
  <si>
    <t>Passo 1:  troca do controlador mostrava-se efetiva; sem indícios de falha processual_x000D_
Passo 2: Início de ensaios afim de aprofundar a análise: troca A/B/A = falha não acompanhava o componente; ressolda de terminais = não resolvia a falha; aferições dos sinais = nenhum sinal divergente._x000D_
Passo 3: Ensaio realizado em uma amostra mostrou que, ao realizar a gravação de um Mac  diferente do já gravado através do script de testes PROGMAC.bat sanava a falha, sem nenhuma interação a mais com o componente.  Como não haviam mais amostras da falha, passou-se a monitorar esse problema afim de validar a informação;</t>
  </si>
  <si>
    <t>U13</t>
  </si>
  <si>
    <t xml:space="preserve">Com a ocorrência de novas falhas, validou-se o ensaio da regravação, isolando a falha nesse aspecto. Análise do script  indicou que a linha  referente a habilitação do Boot PXE entrava no loop do teste apenas na primeira vez em que o MAC era gravado; se fosse necessário a regravação do MAC, essa linha não era acionada, causando o conflito verificado._x000D_
</t>
  </si>
  <si>
    <t>\\Brpcesfil01\Test_en$\17 - Debug\Analises\Dogfish - PXE Issue</t>
  </si>
  <si>
    <t>BR04YP6J1081951E0059A03</t>
  </si>
  <si>
    <t>Curto para o GND no TP #1198.</t>
  </si>
  <si>
    <t xml:space="preserve">Passo 1: Verificado no microscópio o TP (suspeita de curto induzido durante processo)._x000D_
Passo 2: Imagens realizadas no microscópio mostram que o curto foi induzido por ação de objeto pontiagudo no TP #1198 (provavelmente, agulha de ICT)._x000D_
</t>
  </si>
  <si>
    <t>TP</t>
  </si>
  <si>
    <t>Resultado : Sem SCRAP - Fornecedor (falha retrabalhável).</t>
  </si>
  <si>
    <t>\\Brpcesfil01\Test_en$\17 - Debug\Analises\Tigris - TP furado</t>
  </si>
  <si>
    <t>BR0MP6TF1081964L001OA04</t>
  </si>
  <si>
    <t>20/2016</t>
  </si>
  <si>
    <t xml:space="preserve">SINAIS AFERIDOS  DURANTE A ANÁLISE: +3.3V_ALW /+5V_ALW /+1.35V_MEM / +VCC_CORE /SUS_ON/ RUN_ON. 
RESULTADO: CURTO DE SOLDA ENTRE OS TERMINAIS PU500.31 E 32 (REFERENTE AOS SINAIS H_PROCHOT# E VIDALERT_N). </t>
  </si>
  <si>
    <t>PU500</t>
  </si>
  <si>
    <t>OS SINAIS H_PROCHOT# E VIDALERT_N SÃO SINAIS DE PROTEÇÃO, PERTENCENTES AO CIRCUITO DE CONTROLE DE TEMPERATURA DO PROCESSADOR.</t>
  </si>
  <si>
    <t>UC2 / UC3</t>
  </si>
  <si>
    <t>BR0H23N71081964F00U6A02</t>
  </si>
  <si>
    <t xml:space="preserve">NO VIDEO PELA SAÍDA LCD - PLACA SOBE VIDEO APENAS PELA SAÍDA HDMI; </t>
  </si>
  <si>
    <t>SINAL EDP_VDD_EN ENVIADO PELO PROCESSADOR OSCILANDO, IMAGEM FICA ALTERANDO O TOM DA COR CONFORME SINAL OSCILA, PORÉM QUANDO O  LCD ESTÁ DESCONECTADO ESTE  SINAL FICA ESTÁVEL.</t>
  </si>
  <si>
    <t xml:space="preserve">LCD1 </t>
  </si>
  <si>
    <t>HAVIAM TRAÇOS DE FLUXO NO CONECTOR, DEVIDO A TROCA ANTERIOR MAL SUCEDIDA, CAUSANDO A SITUAÇÃO DE FALHA RELATADA.</t>
  </si>
  <si>
    <t>C5203,C5210,C5212</t>
  </si>
  <si>
    <t>BR04WJH41081964E00KFA02</t>
  </si>
  <si>
    <t>NO POWER - PLACA APENAS COM TENSÕES PRIMÁRIAS. PROCESSADOR NÃO LIBERA SINAL SIO_SLP_S3#.</t>
  </si>
  <si>
    <t>YC1</t>
  </si>
  <si>
    <t xml:space="preserve">DURANTE AFERIÇÃO DOS SINAIS, PLACA LIGOU E SUBIU TENSÕES PRINCIPAIS DE ALIMENTAÇÃO REFERENTES AO PROCESSADOR E AO BANCO DE MEMÓRIAS. </t>
  </si>
  <si>
    <t>YC2,UC2,UC3</t>
  </si>
  <si>
    <t>BR0W1MP61081963J0068A07</t>
  </si>
  <si>
    <t>21/2016</t>
  </si>
  <si>
    <t>P1V2DUAL_BMC /P3V3_AUX /FAN_SEN_CPU /VTT_DDR3</t>
  </si>
  <si>
    <t>U_IBMC1</t>
  </si>
  <si>
    <t>PLACA APRESENTOU FALHA NO TESTE DE RECONHECIMENTO DAS PLACAS PCI E DA PORTA SERIAL.</t>
  </si>
  <si>
    <t xml:space="preserve">
</t>
  </si>
  <si>
    <t>BR0X1DP81081964L0021A00</t>
  </si>
  <si>
    <t>Falha de "no boot" ao tentar localizar o HD para iniciar o teste.</t>
  </si>
  <si>
    <t>Amostra não conseguia localizar o HD nas opções de boot. Defeito causado devido ao erro de firmware da gravação da bios SPI251 causando falha na configuração de opções de boot.</t>
  </si>
  <si>
    <t>SPI251</t>
  </si>
  <si>
    <t>BR0W1MP61081965H005MA07</t>
  </si>
  <si>
    <t>Falha ao realizar a checagem do firmware de ME.</t>
  </si>
  <si>
    <t xml:space="preserve">HDA_SDO_PU_x000D_
</t>
  </si>
  <si>
    <t>BR0W1MP61081965I007YA07</t>
  </si>
  <si>
    <t>O capacitor C3076 estava desalinhado, causando a interrupção do sinal SATAHDR_TX0_DP que faz a transmissão de dados entre o HD e o PCH.</t>
  </si>
  <si>
    <t>C3076</t>
  </si>
  <si>
    <t>BR05XGC81081964L00NSA00</t>
  </si>
  <si>
    <t>On - Power Test Fail (A-MV/+5V_AUX)</t>
  </si>
  <si>
    <t>Faltando o sinal +5V_AUX e seus derivados.</t>
  </si>
  <si>
    <t>RO50</t>
  </si>
  <si>
    <t>Um dos terminais do resistor não estava soldado na MB.</t>
  </si>
  <si>
    <t>R6423</t>
  </si>
  <si>
    <t>BR02VNRY10819644005TA00</t>
  </si>
  <si>
    <t xml:space="preserve">Falha de USB DEVICE, não reconheceu o seguinte device - USB\VID_413C&amp;PID_A001\MSFT200123456789 : Generic USB Hub._x000D_
</t>
  </si>
  <si>
    <t>U_IDRAC1</t>
  </si>
  <si>
    <t>Descrição do driver USB HUB - Device ID : USB\VID_413C&amp;PID_A001 (Hub)._x000D_
The Dell® hub USB\VID Code consists of a few parts that is relative to the hardware. The "USB\VID _" is the first part of the number that relates to the manufacturer, Dell® has the USB\VID code of USB\VID_413C. The individual part identification code for this device is the "&amp;PID_" number, in this case it is USB\VID_413C&amp;PID_A001 which is a Hub device. If the system device is not working or seems very slow then it is likely that the driver is not installed correctly, old or broken. Designed specifically to be used with the Dell® Hub device.</t>
  </si>
  <si>
    <t>Placa não liga, falhando AUTO POWER ON na jiga de FT. Tensões principais oscilando.</t>
  </si>
  <si>
    <t>U_SRP1</t>
  </si>
  <si>
    <t>Após a troca do U_SRP1 a placa apresentou ligou normalmente, falha de chk_lom posterior foi causado pelo teste de ICT.</t>
  </si>
  <si>
    <t>BR0NMY841081965L007YA00</t>
  </si>
  <si>
    <t>22/2016</t>
  </si>
  <si>
    <t>FALHA NO TESTE IPDT.BAT NO WINDOWS, ACUSANDO DIFERENÇA NA FREQUÊNCIA AFERIDA (103 MHZ); ESPERADO 133MHZ).</t>
  </si>
  <si>
    <t>Sinal "PWR_VCCGT_IOUT" foi aferido e estava OK, contudo a análise visual identificou que o componente PR4626 estava faltando.</t>
  </si>
  <si>
    <t>PR4626</t>
  </si>
  <si>
    <t xml:space="preserve">PLACA ANALISADA POR TÉCNICO ANTONIO LIBRA </t>
  </si>
  <si>
    <t>CPU1, X9504, X9503 E OSC2</t>
  </si>
  <si>
    <t>BR0WT51R1081961D0082A00</t>
  </si>
  <si>
    <t>TELA OSCILANDO NO TESTE DE GPU COM A MENSAGEM: SCHED_ERROR PENDING WITH ERROR CODE 20. PERDE VIDEO AO ENTRAR NO WINDOWS.</t>
  </si>
  <si>
    <t xml:space="preserve">AFERIDOS: +GPU_CORE 0.90V / +3VS_DGPU_AON = 3.3V / +1.35VS_VRAM = 1.35V +3VS_DGPU = 3.37V / +1.0VS_DGPU = 0.95V  </t>
  </si>
  <si>
    <t>RPV8</t>
  </si>
  <si>
    <t>PLACA ENTRA NO WINDOWS E INICIALIZA NORMALMENTE SEM A GPU.</t>
  </si>
  <si>
    <t>RPV9/ RPV10/ RPV11</t>
  </si>
  <si>
    <t>BR0FVD511081965P0003A01</t>
  </si>
  <si>
    <t>Falha no Step "PARTS", referente a agulha #1411.</t>
  </si>
  <si>
    <t>U14</t>
  </si>
  <si>
    <t>ANALISADA PELO TÉCNICO ANTONIO LIBRA</t>
  </si>
  <si>
    <t>BR0X1DP81081961E0004A00</t>
  </si>
  <si>
    <t xml:space="preserve">No vídeo pelas saídas LCD / HDMI, identificado no teste de OEM, _x000D_
Led do periférico IOBD1 indicativa alerta de memória._x000D_
</t>
  </si>
  <si>
    <t xml:space="preserve">PU5101 </t>
  </si>
  <si>
    <t>Análise realizada por Thiago Almeida.</t>
  </si>
  <si>
    <t>BR0NF8GV1081962T008LA00</t>
  </si>
  <si>
    <t xml:space="preserve">Vídeo Pela saída LCD incorreto (imagem "branca"). </t>
  </si>
  <si>
    <t>F2</t>
  </si>
  <si>
    <t>Análise realizada por Rodolfo Campos.</t>
  </si>
  <si>
    <t>BR041VDN1081966I00DBA01</t>
  </si>
  <si>
    <t>26/2016</t>
  </si>
  <si>
    <t>PLACA COM FALHA DE BATERIA, TRAVANDO AO REMOVER AC</t>
  </si>
  <si>
    <t>D12</t>
  </si>
  <si>
    <t>PLACA ANALISADA POR ANTONIO LIBRA</t>
  </si>
  <si>
    <t>BR0PYXMC1081966R0049A02</t>
  </si>
  <si>
    <t>Placa com falha de bateria, travando ao remover Alimentação (AC- Adapter).</t>
  </si>
  <si>
    <t>Tensões relacionadas a falha foram aferidas e não foram encontradas alterações, com relação à placa de referência.</t>
  </si>
  <si>
    <t>PLACA ANALISADA PELO TECNICO ANTONIO LIBRA</t>
  </si>
  <si>
    <t>IDENTIFICADO ATRAVES DE ANALISE VISUAL</t>
  </si>
  <si>
    <t>BR0WT51R1081966F01CKA00</t>
  </si>
  <si>
    <t>27/2016</t>
  </si>
  <si>
    <t>UE5</t>
  </si>
  <si>
    <t>BR0R392V1081965N00GBA01</t>
  </si>
  <si>
    <t>28/2016</t>
  </si>
  <si>
    <t>Placa não sobe tensão 1D05V_PWR.</t>
  </si>
  <si>
    <t>Aferidos: 1D05V_PWR / 1D05V_S0/ PM_SLP_S3# / 1D05V_VTT_PWRGD / 5V_S5 / DCBATOUT / PWR_1D05V_FB</t>
  </si>
  <si>
    <t>PC4822</t>
  </si>
  <si>
    <t>Falha isolada ao circuito de geração do sinal 1D05V_PWR, sinal enable PM_SLP_S3#  e alimentação do CI PU4806 presentes.</t>
  </si>
  <si>
    <t>BR0K2M3D10819664007AA00</t>
  </si>
  <si>
    <t>Não Sobe a Tensão: V_5P0_A (apresenta falha no teste de ICT: A-MV/V_5P0_A).</t>
  </si>
  <si>
    <t>PR4506</t>
  </si>
  <si>
    <t>PU4501</t>
  </si>
  <si>
    <t>BR09WGNT1081967K00T0A00</t>
  </si>
  <si>
    <t>30/2016</t>
  </si>
  <si>
    <t>Placa apresenta falha de curto no ICT, Short &lt;60&gt; &lt;114&gt;, Short &lt;104&gt;&lt;115&gt;, porém falha apresentada é falso, falha real Step=5204 Name=A-MV/VCC_CORE.</t>
  </si>
  <si>
    <t>Divergente: Sinal PM_SLP_S3# aferindo 0V.</t>
  </si>
  <si>
    <t>PR4607</t>
  </si>
  <si>
    <t>BR0T7D401081968D00AHA00</t>
  </si>
  <si>
    <t>37/2016</t>
  </si>
  <si>
    <t>PQ1</t>
  </si>
  <si>
    <t>BR05XGC81081969K00RVA00</t>
  </si>
  <si>
    <t>38/2016</t>
  </si>
  <si>
    <t xml:space="preserve">O transistor responsável pelo chaveamento do sinal +1P0V_VCCST estava errado, causando a interrupção do sinal e impedindo que o componente PU3 fosse habilitado. </t>
  </si>
  <si>
    <t>PQ80</t>
  </si>
  <si>
    <t>Defeito encontrado pelo técnico Anderson Barbosa.</t>
  </si>
  <si>
    <t>BR0VR8V91081969F00K8A01</t>
  </si>
  <si>
    <t>39/2016</t>
  </si>
  <si>
    <t>A falha foi diagnosticada pelo teste de ICT com curto circuito do nó #339 em relação ao #24.</t>
  </si>
  <si>
    <t>Ao aferir o nó #339 que corresponde ao sinal VRM_CSCOMP em relação ao #24 que corresponde ao sinal +VCORE, foi constatado o curto circuito. Em seguida foi realizada a remoção dos componentes ligados as malhas e verificação de possíveis defeitos em cada componente removido, mas não foi constatado nenhum dano visível, elétrico ou problema de solda; após isso as duas malhas ficaram completamente isoladas e o defeito persistiu, então foi realizada a análise das trilhas e pad's superficiais da MB e não foi constatado nenhum dano visível na PCB. A conclusão então foi de defeito de trilha interna, problema característico de fornecedor da PCB.</t>
  </si>
  <si>
    <t>Trilha interna de PCB.</t>
  </si>
  <si>
    <t>PC24, PC25, PC26, PC27, PC28, PC29, PC30, PC31, PC32, PC33, PC61, PC35, PC36, PC37, PC38, PC39, PC40, PC41, PC613, PC616, PC617, PC642, PC1007, PC1008, PC1009, PC1010, PC1011, PC1012, PCE611, PCE612, PCE613, PCE615, PR606, PR616, PR627, PR632, PR640, PR641, PR969, PRT602, PL604, PQ611, PQ612, PQ613, PQ614, PQ641, PU601, PU611 e CPU.</t>
  </si>
  <si>
    <t>BR0H23N71081968G0098A02</t>
  </si>
  <si>
    <t>41/2016</t>
  </si>
  <si>
    <t>Driver de Rede instalado corretamente, porém placa não reconhece cabo de Rede.</t>
  </si>
  <si>
    <t>Aferido: Sinal VDD10 - constatado baixa impedância em relação ao GND.</t>
  </si>
  <si>
    <t>C3025,C3018</t>
  </si>
  <si>
    <t>BR01R5YW108196AB0003A00</t>
  </si>
  <si>
    <t xml:space="preserve">Falha diferença de impedância das malhas #1032 e #1035 em relação ao GND (#1). </t>
  </si>
  <si>
    <t>N/A</t>
  </si>
  <si>
    <t>A análise foi informada para o engenheiro de produto responsável, e então foi autorizado o ajuste de parâmetros do software de ICT.</t>
  </si>
  <si>
    <t>BR0XV94D1081969T0062A00</t>
  </si>
  <si>
    <t>42/2016</t>
  </si>
  <si>
    <t>Falha ao realizar o teste de IPDT.</t>
  </si>
  <si>
    <t>DCIN1</t>
  </si>
  <si>
    <t>BR0K2M3D108196A6004IA00</t>
  </si>
  <si>
    <t>Não reconhece drive de Rede, ao entrar no windows apresenta falha de MAC.</t>
  </si>
  <si>
    <t>Q44</t>
  </si>
  <si>
    <t>U16</t>
  </si>
  <si>
    <t>BR0M9X35108196AM00U7A00</t>
  </si>
  <si>
    <t>43/2016</t>
  </si>
  <si>
    <t>Foi constatada a ausência do sinal PM_SLP_S4#, então foi aferido a malha e verificada uma baixa impedância no terminal 21 do super I/O e confirmado o defeito elétrico do componente.</t>
  </si>
  <si>
    <t>U2401</t>
  </si>
  <si>
    <t>BR0VR8V9108196AQ00UKA01</t>
  </si>
  <si>
    <t>44/2016</t>
  </si>
  <si>
    <t>BR0H4CR2108195CA000EA00</t>
  </si>
  <si>
    <t>45/2016</t>
  </si>
  <si>
    <t>Placa não inicia teste, reconhece portas SAS, porém ao escanear as etiquetas para iniciar, a mesma apresenta falha.</t>
  </si>
  <si>
    <t>FLASH</t>
  </si>
  <si>
    <t>MB APRESENTAVA LED LARANJA NAS PORTAS SAS3 E SAS4, INDICANDO QUE ESTAS PORTAS NÃO ESTAVAM HABILITADAS, APOS TROCA DO CPLD E REPASSAR EM ICT FOI HABILITADAS, PORÉM NÃO INICIAVA TESTE, AO SUBSTITUIR A FLASH CORRIGIU O PROBLEMA</t>
  </si>
  <si>
    <t>U1, U45, CPLD</t>
  </si>
  <si>
    <t>BR01R5YW108196AA00JGA00</t>
  </si>
  <si>
    <t>VCC_CORE, +VCCGT, sinais barramento dos canais de memória.</t>
  </si>
  <si>
    <t>SPI25</t>
  </si>
  <si>
    <t>BR0YCKW91081969L009AA00</t>
  </si>
  <si>
    <t>Sinal VCC_CORE e PWR_+VCCSA ausentes.</t>
  </si>
  <si>
    <t>PU5001</t>
  </si>
  <si>
    <t>SPI25, X1801</t>
  </si>
  <si>
    <t>BR01R5YW108196AL00IIA00</t>
  </si>
  <si>
    <t>VCC_CORE, VCC_SENSE, VSSSA_SENSE.</t>
  </si>
  <si>
    <t>BR01R5YW108196AL00RSA00</t>
  </si>
  <si>
    <t>EDP_TX0_DN,  LCDVDD, EDP_TX3_DN.</t>
  </si>
  <si>
    <t>BR0V736W108196BU000CA00</t>
  </si>
  <si>
    <t>48/2016</t>
  </si>
  <si>
    <t>Falha no teste Gráfico - nVidia (Error Code 665: "Wrong number of PCI express lanes detected").</t>
  </si>
  <si>
    <t xml:space="preserve">Análise encontrou uma diferença de impedância, com relação ao GND, no sinal PCIE_CRX_C_GTX_P4 (barramento PCIe, entre a GPU e a CPU; a placa "Golden" afere 0.795 MOhms neste ponto; já essa amostra com falha aferia 132 Ohms). Foi removido o capacitor CV17 (localizado neste sinal, entre a CPU e a GPU; feito a análise visual, a aferição no capacímetro e nada anormal encontrado), e a diferença de impedância foi estabilizada. Com a colocação de um novo componente e posterior reteste em bancada de análises, constatado que a falha foi sanada. </t>
  </si>
  <si>
    <t>CV17</t>
  </si>
  <si>
    <t>Análise realizada por Meire Paes - Técnica de Análises</t>
  </si>
  <si>
    <t>BR07RVYG108196BJ0004A00</t>
  </si>
  <si>
    <t>50/2016</t>
  </si>
  <si>
    <t>Haviam curtos de solda entre os terminais 26 e 27, curto circuitando o sinal PWR_VCORE_COMP com o PWR_VCORE_IUM, e os terminais 35 e 36, curto circuitando o sinal PWR_VCORE_DVRON com o PWR_VCCSA_PWM.</t>
  </si>
  <si>
    <t>PU4601</t>
  </si>
  <si>
    <t>BR0MGK50108196CH00A9A02</t>
  </si>
  <si>
    <t>51/2016</t>
  </si>
  <si>
    <t>Falha de "no power" na estação de OEM.</t>
  </si>
  <si>
    <t>PR201, UA1, C230 e C143.</t>
  </si>
  <si>
    <t>COMPONENTE PASSIVO / DISCRETO E CONTROLADOR DE PERIFÉRICOS</t>
  </si>
  <si>
    <t>BR0JD0P2108196BS00FPA00</t>
  </si>
  <si>
    <t>PU4301</t>
  </si>
  <si>
    <t>PU4701</t>
  </si>
  <si>
    <t>BR08YDFF108196BS00AEA01</t>
  </si>
  <si>
    <t>Sinais: +VCORE, VCCGT, +VCCSA, +VCCIO.</t>
  </si>
  <si>
    <t>U4</t>
  </si>
  <si>
    <t>SPI1</t>
  </si>
  <si>
    <t>Sinais: +VCCIO/ +VCCSA/ +VCORE/ +3P3V_AUX.</t>
  </si>
  <si>
    <t>U1</t>
  </si>
  <si>
    <t>BR09WGNT1081971400I6A00</t>
  </si>
  <si>
    <t>Sinais: 3D3V_PWR/ 5V_PWR / 3V_5V_EN/ DCBATOUT / 3D3V_PWR_2/ 5V_PWR_2.</t>
  </si>
  <si>
    <t>PU4505</t>
  </si>
  <si>
    <t xml:space="preserve">PU4503,PU4501,PU4502. </t>
  </si>
  <si>
    <t>03/2017</t>
  </si>
  <si>
    <t>02/2017</t>
  </si>
  <si>
    <t>BR0HD5W2108196C700OYA01</t>
  </si>
  <si>
    <t>\\Brpcesfil01\DEBUG_EN\1 - Debug\4 - Documentos Gerais\3 - Banco de Arquivos Compartilhados\2 - Imagens\</t>
  </si>
  <si>
    <t>\\Brpcesfil01\DEBUG_EN\1 - Debug\4 - Documentos Gerais\3 - Banco de Arquivos Compartilhados\2 - Imagens\BR0FVD511081965P0003A01</t>
  </si>
  <si>
    <t>\\Brpcesfil01\DEBUG_EN\1 - Debug\4 - Documentos Gerais\3 - Banco de Arquivos Compartilhados\2 - Imagens\BR0PYXMC1081966R0049A02.jpg</t>
  </si>
  <si>
    <t>\\Brpcesfil01\DEBUG_EN\1 - Debug\4 - Documentos Gerais\3 - Banco de Arquivos Compartilhados\2 - Imagens\BR0K2M3D10819664007AA00</t>
  </si>
  <si>
    <t>\\Brpcesfil01\DEBUG_EN\1 - Debug\4 - Documentos Gerais\3 - Banco de Arquivos Compartilhados\2 - Imagens\BR09WGNT1081967K00T0A00</t>
  </si>
  <si>
    <t>\\Brpcesfil01\DEBUG_EN\1 - Debug\4 - Documentos Gerais\3 - Banco de Arquivos Compartilhados\2 - Imagens\BR0MP6TF1081964L001OA04.jpg</t>
  </si>
  <si>
    <t>\\Brpcesfil01\DEBUG_EN\1 - Debug\4 - Documentos Gerais\3 - Banco de Arquivos Compartilhados\2 - Imagens\BR0W1MP61081965H005MA07.jpg</t>
  </si>
  <si>
    <t>\\Brpcesfil01\DEBUG_EN\1 - Debug\4 - Documentos Gerais\3 - Banco de Arquivos Compartilhados\2 - Imagens\BR0W1MP61081965I007YA07.jpg</t>
  </si>
  <si>
    <t>\\Brpcesfil01\DEBUG_EN\1 - Debug\4 - Documentos Gerais\3 - Banco de Arquivos Compartilhados\2 - Imagens\BR05XGC81081964L00NSA00.jpg</t>
  </si>
  <si>
    <t>\\Brpcesfil01\DEBUG_EN\1 - Debug\4 - Documentos Gerais\3 - Banco de Arquivos Compartilhados\2 - Imagens\BR0XV94D1081969T0062A00.jpg</t>
  </si>
  <si>
    <t>\\Brpcesfil01\DEBUG_EN\1 - Debug\4 - Documentos Gerais\3 - Banco de Arquivos Compartilhados\2 - Imagens\BR07RVYG108196BJ0004A00.jpg</t>
  </si>
  <si>
    <t>ANGELFISH</t>
  </si>
  <si>
    <t>AMAZON</t>
  </si>
  <si>
    <t>VMAX</t>
  </si>
  <si>
    <t>TULIP 14&amp;15 SKL &amp;  KBL</t>
  </si>
  <si>
    <t>BR08NPPY1081971J002ZA00</t>
  </si>
  <si>
    <t>Falha no teste de ICT de "on power" relacionado aos sinais: +12V_MAIN, +5V_AUX, +5V_USB_R, +5V_HDMI, +5V_SMART_USB, USBPWR6_F_50, USBPWR2_F_50, USBPWR4_F_50, USBPWR1_F_50, +3P3V_SB e +3P3V_MAIN.</t>
  </si>
  <si>
    <t>A análise foi desenvolvida em três etapas, a primeira consistiu em identificar o defeito do sinal O_PSON#, antecessor dos outros e que estava sendo interrompido devido ao super I/O U118 estar com insuficiência de solda e não estar gerando pelo terminal 53 o sinal O_PSON#. A segunda etapa consistiu em identificar a ausência dos sinais: +3P3V_SB e +5V_AUX, que estavam sendo interrompidos devido a defeito nos componentes: PU12, PQ43, PQ44, PQ45 e PQ46. E para concluir a análise foi necessário identificar a causa da ausência do sinal VCORE_SW1_25, que estava sendo interrompido devido a insuficiência de solda no terminal 1 do PWM PU4 que não estava recebendo o sinal VRM_PWM1.</t>
  </si>
  <si>
    <t>U118, PU12, PQ43, PQ44, PQ45, PQ46 e PU4.</t>
  </si>
  <si>
    <t>TROCA/RESSOLDA</t>
  </si>
  <si>
    <t>Análise realizada em conjunto pelos técnicos: Bruno Antunes e Rodolfo Campos.</t>
  </si>
  <si>
    <t>REGULADOR DE TENSÃO/SIO</t>
  </si>
  <si>
    <t>Y5, PD8, PQ11, PQ12, PU8 e SPI1.</t>
  </si>
  <si>
    <t>\\Brpcesfil01\DEBUG_EN\4 - NPI\25 - BLACKFISH SFF (8NPPY)\2 - Imagens - Falhas ICT\20-01-17\BR08NPPY1081971J002ZA00.jpg</t>
  </si>
  <si>
    <t>BR09WC1G108197290002A01</t>
  </si>
  <si>
    <t>06/2017</t>
  </si>
  <si>
    <t>UZ2</t>
  </si>
  <si>
    <t>\\Brpcesfil01\DEBUG_EN\1 - Debug\4 - Documentos Gerais\3 - Banco de Arquivos Compartilhados\2 - Imagens\BR09WC1G108197290002A01</t>
  </si>
  <si>
    <t xml:space="preserve">Intel SPEC </t>
  </si>
  <si>
    <t>Processor Type</t>
  </si>
  <si>
    <t>SR1EF</t>
  </si>
  <si>
    <t>SR16Z</t>
  </si>
  <si>
    <t>SR170</t>
  </si>
  <si>
    <t>SR16Q</t>
  </si>
  <si>
    <t>SR1ED</t>
  </si>
  <si>
    <t>SR1EA</t>
  </si>
  <si>
    <t>SR1EK</t>
  </si>
  <si>
    <t>SR23X</t>
  </si>
  <si>
    <t>SR1EB</t>
  </si>
  <si>
    <t>SR1EE</t>
  </si>
  <si>
    <t>SR1EN</t>
  </si>
  <si>
    <t>SR23W</t>
  </si>
  <si>
    <t>SR23Y</t>
  </si>
  <si>
    <t>SR23V</t>
  </si>
  <si>
    <t>SR23Z</t>
  </si>
  <si>
    <t>SR2EZ</t>
  </si>
  <si>
    <t>SR2EY</t>
  </si>
  <si>
    <t>SR2A8</t>
  </si>
  <si>
    <t>SR244</t>
  </si>
  <si>
    <t>SR27G</t>
  </si>
  <si>
    <t>SR2EU</t>
  </si>
  <si>
    <t>SR2KL</t>
  </si>
  <si>
    <t>SR2KS</t>
  </si>
  <si>
    <t>SR2ZV</t>
  </si>
  <si>
    <t>SR2ZU</t>
  </si>
  <si>
    <t>SR2UW</t>
  </si>
  <si>
    <t>1 - HASWELL</t>
  </si>
  <si>
    <t>4 - BRASWELL</t>
  </si>
  <si>
    <t>5 - KABY LAKE</t>
  </si>
  <si>
    <t>2 - BROADWELL</t>
  </si>
  <si>
    <t>3 - SKYLAKE</t>
  </si>
  <si>
    <t>Imagem da Jiga</t>
  </si>
  <si>
    <t>\\Brpcesfil01\DEBUG_EN\1 - Debug\3 - OSV+\3 - Banco de Arquivos\1 - Imagens\BR09WC1G1081972A002BA01.jpg</t>
  </si>
  <si>
    <t>Column1</t>
  </si>
  <si>
    <t>Column2</t>
  </si>
  <si>
    <t>Column3</t>
  </si>
  <si>
    <t>Column4</t>
  </si>
  <si>
    <t>BR0K8N4N1081971R000OA01</t>
  </si>
  <si>
    <t>PLACA NÃO INICIA WINDOWS</t>
  </si>
  <si>
    <t>CURTO ENTRE OS TERMINAIS BE E B3 DO CONECTOR J_MINISAS1</t>
  </si>
  <si>
    <t>C139 E C142</t>
  </si>
  <si>
    <t>APOS RETRABALHO PLACA RECONHECE PORTA A</t>
  </si>
  <si>
    <t>SPIBIOS</t>
  </si>
  <si>
    <t>BR0WT51R1081971600M2A00</t>
  </si>
  <si>
    <t>07/2017</t>
  </si>
  <si>
    <t>Sinais SIO_SLP_SUS# / +5VALW / +3VALW / ALWON / +VCC_CORE / +1.35VP / +0.675VS_VTT.</t>
  </si>
  <si>
    <t>PC627</t>
  </si>
  <si>
    <t xml:space="preserve">UE5,UC2. </t>
  </si>
  <si>
    <t>BR07RVYG108197280061A00</t>
  </si>
  <si>
    <t>Aferidos: 1D0V_PWR / PWR_1D0V_FB  / 5V_S5/ PWR_DCBATOUT_1D0V / PWR_1D0V_TON / PWR_1D0V_EN.</t>
  </si>
  <si>
    <t>PU5201</t>
  </si>
  <si>
    <t>BR09WC1G1081972900JAA01</t>
  </si>
  <si>
    <t>\\Brpcesfil01\DEBUG_EN\1 - Debug\4 - Documentos Gerais\3 - Banco de Arquivos Compartilhados\2 - Imagens\BR09WC1G1081972900JAA01.bmp</t>
  </si>
  <si>
    <t>BR01R5YW1081971I00PJA00</t>
  </si>
  <si>
    <t>04/2017</t>
  </si>
  <si>
    <t>BR01R5YW1081971I00F5A00</t>
  </si>
  <si>
    <t>SPI125</t>
  </si>
  <si>
    <t>BR08PK6D108196AA0037A02</t>
  </si>
  <si>
    <t>42/2017</t>
  </si>
  <si>
    <t xml:space="preserve">VRAM3,VRAM4,VRAM7,VRAM8_x000D_
</t>
  </si>
  <si>
    <t xml:space="preserve">GPU1_x000D_
</t>
  </si>
  <si>
    <t>BR0JCTF81081971H0022A00</t>
  </si>
  <si>
    <t>U7</t>
  </si>
  <si>
    <t>BR0KCKCP10819732001AA00</t>
  </si>
  <si>
    <t>10/2017</t>
  </si>
  <si>
    <t>MB APRESENTA APENAS 3V E 5V, NÃO RESPONDE NO PWRBTN</t>
  </si>
  <si>
    <t>Q1901</t>
  </si>
  <si>
    <t>PLACA ANALISADA PELO TÉCNICO RODOLFO.</t>
  </si>
  <si>
    <t xml:space="preserve">UC1, UE1, YC2, UC5, QC2, UZ6, UZE E PQ40. </t>
  </si>
  <si>
    <t>BR0N8YJW10819728003TA00</t>
  </si>
  <si>
    <t>Baixa luminosidade na tela</t>
  </si>
  <si>
    <t>HDMI1_D0-</t>
  </si>
  <si>
    <t>SCA1</t>
  </si>
  <si>
    <t>PLACA ANALISADA PELO TÉCNICO RICARDO.</t>
  </si>
  <si>
    <t>SR2ZW</t>
  </si>
  <si>
    <t>BR0K8N4N1081973A000TA01</t>
  </si>
  <si>
    <t>11/2017</t>
  </si>
  <si>
    <t>Não inicia o teste</t>
  </si>
  <si>
    <t>USB3_PCH_TX_DN</t>
  </si>
  <si>
    <t>c9888</t>
  </si>
  <si>
    <t>BR04TWGW1081973I00MSA00</t>
  </si>
  <si>
    <t>12/2017</t>
  </si>
  <si>
    <t>PCH_RTCRST#</t>
  </si>
  <si>
    <t>QC2</t>
  </si>
  <si>
    <t>MB ANALISADA PELO TÉCNICO ALAN CESAR E EMERSON</t>
  </si>
  <si>
    <t>BR0K8N4N1081973L004FA01</t>
  </si>
  <si>
    <t>O capacitor de filtro do sinal P1V2_VDDQ do circuito de alimentação das memórias foi danificado.</t>
  </si>
  <si>
    <t>PC194</t>
  </si>
  <si>
    <t>\\Brpcesfil01\DEBUG_EN\1 - Debug\4 - Documentos Gerais\3 - Banco de Arquivos Compartilhados\2 - Imagens\BR0K8N4N1081973L004FA01</t>
  </si>
  <si>
    <t xml:space="preserve">Aferidos os seguintes sinais; VGA_CORE, cristal 27MHZ_IN, 1D05V_VGA_S0, 1D35V_VGA_S0, 3D3V_VGA_S0._x000D_
_x000D_
_x000D_
_x000D_
</t>
  </si>
  <si>
    <t>BR0K8N4N1081973L002SA01</t>
  </si>
  <si>
    <t>NÃO RECONHECE PORTA USB DO FRONT</t>
  </si>
  <si>
    <t>U683</t>
  </si>
  <si>
    <t>\\Brpcesfil01\DEBUG_EN\1 - Debug\4 - Documentos Gerais\3 - Banco de Arquivos Compartilhados\2 - Imagens\BR0K8N4N1081973L002SA01.jpg</t>
  </si>
  <si>
    <t>BR0K8N4N108197390004A01</t>
  </si>
  <si>
    <t xml:space="preserve">PLACA NÃO INICIA O TESTE </t>
  </si>
  <si>
    <t>CLK_100M_PCH_LOM_R_DP  QUE SAI DO PCH ESTAVA FALTANDO</t>
  </si>
  <si>
    <t>U_SRP1 (PCH)</t>
  </si>
  <si>
    <t>MB FALHADA COMO NO BOOT, APRESENTA MENSAGEM DE ERRO NA INICIALIZAÇÃO.</t>
  </si>
  <si>
    <t>U_LOM1</t>
  </si>
  <si>
    <t>BR09WC1G1081972N000AA01</t>
  </si>
  <si>
    <t>13/2017</t>
  </si>
  <si>
    <t>FALHA GRÁFICA, CÓDIGO 220</t>
  </si>
  <si>
    <t>AUSÊNCIA DO SINAL +1.0VS_DGPU</t>
  </si>
  <si>
    <t>UV10</t>
  </si>
  <si>
    <t>Ohms(m)</t>
  </si>
  <si>
    <t>Ohms</t>
  </si>
  <si>
    <t>Equivale a</t>
  </si>
  <si>
    <t>Convertido para</t>
  </si>
  <si>
    <t>Expresso  em ...</t>
  </si>
  <si>
    <t>Ohms(p)</t>
  </si>
  <si>
    <t>Ohms(n)</t>
  </si>
  <si>
    <t>Ohms(u)</t>
  </si>
  <si>
    <t>De / Para</t>
  </si>
  <si>
    <t>Tabela de Conversão</t>
  </si>
  <si>
    <t>Ohms(K)</t>
  </si>
  <si>
    <t>Valor  Original</t>
  </si>
  <si>
    <t>Ohms(T)</t>
  </si>
  <si>
    <t>Ohms(G)</t>
  </si>
  <si>
    <t>Ohms(M)</t>
  </si>
  <si>
    <t>Valor:</t>
  </si>
  <si>
    <t>IDENTIFICADO OS TERMINAIS 8 E 9 DO CONTROLADOR COM CARACTERÍSTICAS DE "OPEN" - SOLDA NÃO MIGROU PARA OS TERMINAIS._x000D_
PLACA ANALISADA PELO TÉCNICO EMERSON ROSSANELI.</t>
  </si>
  <si>
    <t>BR0H5FVJ10819745000HA00</t>
  </si>
  <si>
    <t>14/2017</t>
  </si>
  <si>
    <t>Falha de on-power no teste de ICT, e o teste diagnosticou o sinal P1V05_PECI_VCC com defeito.</t>
  </si>
  <si>
    <t>\\Brpcesfil01\DEBUG_EN\1 - Debug\4 - Documentos Gerais\3 - Banco de Arquivos Compartilhados\2 - Imagens\BR0H5FVJ10819745000HA00</t>
  </si>
  <si>
    <t>BR0T7RYV1081974L00OGA00</t>
  </si>
  <si>
    <t>18/2017</t>
  </si>
  <si>
    <t>Placa sobe tensões principais porém não apresenta video.</t>
  </si>
  <si>
    <t>BR07RVYG108197440073A00</t>
  </si>
  <si>
    <t>Placa liga e desliga - Tensões do +VCCGT, alimentação da memória(1D2V_PWR) e do CPU1(VCC_CORE) sofrem um pulso e logo em seguida caem, permanecendo em 0V. Tensões primárias ok.</t>
  </si>
  <si>
    <t>PU4601,PU4801,SPI25</t>
  </si>
  <si>
    <t>BR0T7RYV1081974L00D1A00</t>
  </si>
  <si>
    <t>19/2017</t>
  </si>
  <si>
    <t>PR4551</t>
  </si>
  <si>
    <t>Troca dos componentes PU4501,PU4502 não efetiva.</t>
  </si>
  <si>
    <t>PU4501,PU4502</t>
  </si>
  <si>
    <t>BR0P1MTV1081975901I2A00</t>
  </si>
  <si>
    <t>Foi encontrado uma divergência no sinal PM_LAN_ENABLE_R e ao verificar o nó 764, constatou-se que o terminal 1 do componente Q3004 estava levantado.</t>
  </si>
  <si>
    <t>Q3004</t>
  </si>
  <si>
    <t>Análise realizada pela técnica Meire Paes.</t>
  </si>
  <si>
    <t>LOM30 e UC5.</t>
  </si>
  <si>
    <t>\\Brpcesfil01\DEBUG_EN\1 - Debug\4 - Documentos Gerais\3 - Banco de Arquivos Compartilhados\2 - Imagens\BR0P1MTV1081975901I2A00.jpg</t>
  </si>
  <si>
    <t>BR0P1MTV1081975200W6A00</t>
  </si>
  <si>
    <t>PLACA APRESENTA VÍDEO E EM SEGUIDA APARECE UMA MENSAGEM An internal  stack overflow has  caused this session to be halted._x000D_
Change the STACKS setting in your CONFIG.SYS file, and then try again</t>
  </si>
  <si>
    <t>PLACA ANALISADA PELO TÉCNICO RICARDO FELISBERTO.</t>
  </si>
  <si>
    <t>UC30, LOM30</t>
  </si>
  <si>
    <t>BR0H5FVJ1081974R000AA00</t>
  </si>
  <si>
    <t>20/2017</t>
  </si>
  <si>
    <t>PLACA NÃO RECONHECE MEMÓRIAS</t>
  </si>
  <si>
    <t>PU7</t>
  </si>
  <si>
    <t>BR0H5FVJ1081975P00FOA00</t>
  </si>
  <si>
    <t>22/2017</t>
  </si>
  <si>
    <t>PLACA FALHA NA GRAVAÇÃO DO EMMC NO STEP LAN.</t>
  </si>
  <si>
    <t xml:space="preserve">BMC_RGMII_TXD2 </t>
  </si>
  <si>
    <t>J_AMEA1</t>
  </si>
  <si>
    <t>BR0411GW1081975U00BVA00</t>
  </si>
  <si>
    <t>23/2017</t>
  </si>
  <si>
    <t>BR0P1MTV1081978100FJA01</t>
  </si>
  <si>
    <t>33/2017</t>
  </si>
  <si>
    <t xml:space="preserve">A falha consiste na ausência do sinal +VCC_SA gerado no terminal 8 do controlador de tensão PU606, interrompendo assim a tensão elétrica para o processador._x000D_
</t>
  </si>
  <si>
    <t>PU606</t>
  </si>
  <si>
    <t>Após a realização do "swap", foi confirmado que a falha esta restrita somente ao componente, pois a falha acompanhou o controlador.</t>
  </si>
  <si>
    <t>BR0OUGAD1081978B010FA00</t>
  </si>
  <si>
    <t>OUGAD</t>
  </si>
  <si>
    <t>A falha ocorre na linha (Step) 2652 do equipamento de teste de ICT, diagnosticando a ausência da tensão elétrica de 5V ao medir o ponto de acesso 6 em relação ao gnd.</t>
  </si>
  <si>
    <t>REG400</t>
  </si>
  <si>
    <t>BR0OUGAD1081978B010EA00</t>
  </si>
  <si>
    <t>A posição C46 que deveria receber um capacitor de valor nominal 12pF 50V, e ligado _x000D_
ao circuito de clock de 27.000MHz estava com um capacitor de valor errado, interrompendo assim o clock inicial da placa.</t>
  </si>
  <si>
    <t>C46</t>
  </si>
  <si>
    <t>BR0OUGAD1081978B016EA00</t>
  </si>
  <si>
    <t>C190</t>
  </si>
  <si>
    <t>REMOÇÃO E REINSERÇÃO</t>
  </si>
  <si>
    <t>Como o curto estava localizado na parte inferior do componente, não foi possível registrar imagens do defeito, mas somente a remoção e reinserção do mesmo componente consertou a falha.</t>
  </si>
  <si>
    <t>L601, C107, C108, C109, C110, C111, C112, C113, C114, C115, C116, C117, C118, C119, C168 e C169.</t>
  </si>
  <si>
    <t>BR0H5FVJ108197870026A01</t>
  </si>
  <si>
    <t>34/2017</t>
  </si>
  <si>
    <t>TRILHAS SEM CONTINUIDADE, VISIVELMENTE DANIFICADAS, DEFEITO DE FORNECEDOR</t>
  </si>
  <si>
    <t>BR0K4KC11081977A007NA00</t>
  </si>
  <si>
    <t>R590</t>
  </si>
  <si>
    <t>Q67 e PU17.</t>
  </si>
  <si>
    <t>BR08NPPY1081978I00QGA00</t>
  </si>
  <si>
    <t xml:space="preserve">PLACA NÃO LIGA, GERA APENAS UM PULSO E DESLIGA </t>
  </si>
  <si>
    <t>PR153</t>
  </si>
  <si>
    <t>ESTA PLACA QUEIMOU DOIS PROCESSADORES NA LINHA</t>
  </si>
  <si>
    <t>PR164</t>
  </si>
  <si>
    <t>BR0HHV7N10819761001LA00</t>
  </si>
  <si>
    <t>UO1</t>
  </si>
  <si>
    <t>UP38</t>
  </si>
  <si>
    <t>BR0HHV7N10819761006YA00</t>
  </si>
  <si>
    <t>BR0M9X3510819762009SA00</t>
  </si>
  <si>
    <t>BR0M9X351081976U01K5A00</t>
  </si>
  <si>
    <t xml:space="preserve">Placa não reconhece SD CARD. </t>
  </si>
  <si>
    <t>C3308,C3309,SD1,U3301</t>
  </si>
  <si>
    <t>BR0K4KC11081977A00IJA00</t>
  </si>
  <si>
    <t>28/2017</t>
  </si>
  <si>
    <t>BR0M9X351081978L00SVA00</t>
  </si>
  <si>
    <t>BR09WC1G1081978G01A5A01</t>
  </si>
  <si>
    <t>Falha no teste de ICT a tensão +5VS.</t>
  </si>
  <si>
    <t>O controlador PU200 não estava liberando o sinal +0.6VSP na saída, mesmo com todas as alimentações entrando no componente: +5VALW, UG_1.2V e +1.2VP, caracterizando como um defeito do componente.</t>
  </si>
  <si>
    <t>PU200</t>
  </si>
  <si>
    <t>BR09WC1G1081978E001NA01</t>
  </si>
  <si>
    <t>Falha no teste de ICT o resistor R2504, e ao analisar  e diagnosticar o defeito, verificou-se que o problema não estava no resistor, mas na 585 em relação ao gnd.</t>
  </si>
  <si>
    <t>Q2505</t>
  </si>
  <si>
    <t>BR0M9X351081976U00SIA00</t>
  </si>
  <si>
    <t>26/2017</t>
  </si>
  <si>
    <t xml:space="preserve">O teste de ICT diagnosticou com falha a malha 25 que corresponde ao sinal 1V_CPU_CORE em relação ao gnd. </t>
  </si>
  <si>
    <t>PC4813</t>
  </si>
  <si>
    <t>PU4801 e PU4802.</t>
  </si>
  <si>
    <t>\\Brpcesfil01\DEBUG_EN\4 - NPI\34 - OUGA 13\2 - Imagens - Falhas ICT\17-08-2017\BR0OUGAD1081978B010FA000.jpg</t>
  </si>
  <si>
    <t>\\Brpcesfil01\DEBUG_EN\4 - NPI\34 - OUGA 13\1 - Imagens - Falhas FT\15-08-2017\BR0OUGAD1081978B010EA000.jpg</t>
  </si>
  <si>
    <t>UE5, UC2.</t>
  </si>
  <si>
    <t>BR0K4KC11081975J0010A00</t>
  </si>
  <si>
    <t>PC181</t>
  </si>
  <si>
    <t>BR0N8YJW1081976E0020A00</t>
  </si>
  <si>
    <t>SCA1,U33.</t>
  </si>
  <si>
    <t>BR09DJ181081979E009LA01</t>
  </si>
  <si>
    <t>38/2017</t>
  </si>
  <si>
    <t>PLACA TRAVA AO INICIAR CONFIGURAÇÃO DE MEMÓRIA</t>
  </si>
  <si>
    <t>SPIBIOS, IDRASPI, CPU E PU7</t>
  </si>
  <si>
    <t>BR0H5FVJ1081979G00GGA01</t>
  </si>
  <si>
    <t>PLACA NÃO LIGA</t>
  </si>
  <si>
    <t>Q135</t>
  </si>
  <si>
    <t>PAD'S DO COMPONENTE MOSTRA QUE O MESMO FOI ARRANCADO POR CHOQUE MECANICO</t>
  </si>
  <si>
    <t>BR0V736W1081978H0030A01</t>
  </si>
  <si>
    <t>UC1,JDIMM2</t>
  </si>
  <si>
    <t>Placa enviada para falha critica, defeito com caracteristica de fornecedor.</t>
  </si>
  <si>
    <t>BR0K4KC11081978O00EGA00</t>
  </si>
  <si>
    <t>sinal enable &gt; S5_ENABLE ausente , liberado pelo I/O.</t>
  </si>
  <si>
    <t>KBC1</t>
  </si>
  <si>
    <t>BR07RVYG1081974J006XA00</t>
  </si>
  <si>
    <t>PU4601, SPI25, PU4701, PU4801.</t>
  </si>
  <si>
    <t>BR0H5FVJ1081979G008FA01</t>
  </si>
  <si>
    <t>IDRASPI</t>
  </si>
  <si>
    <t>NÃO HÁ NECESSIDADE DE TROCA DA BIOS, SOMENTE REGRAVAÇÃO EM ICT</t>
  </si>
  <si>
    <t>BR0D24M81081977L002DA01</t>
  </si>
  <si>
    <t>PU6</t>
  </si>
  <si>
    <t>BR0H5FVJ1081979G00DMA01</t>
  </si>
  <si>
    <t>39/2017</t>
  </si>
  <si>
    <t>PLACA APRESENTA VIDEO, PORÉM NÃO RECONHECE SLOTS DE MEMÓRIAS QUANDO POPULADOS.</t>
  </si>
  <si>
    <t>U89</t>
  </si>
  <si>
    <t>PU7, PU10 E PU9</t>
  </si>
  <si>
    <t>Emerson Rossanelli</t>
  </si>
  <si>
    <t>RED SKULL</t>
  </si>
  <si>
    <t>OUGA (GRAPHIC CARD)</t>
  </si>
  <si>
    <t>MATIRA</t>
  </si>
  <si>
    <t>BR0M9X351081978L0167A00</t>
  </si>
  <si>
    <t>Curto de solda</t>
  </si>
  <si>
    <t>CPU1.1(A3)#98 RSVD_VSS#A3 e CPU1.489(B2)#1 GND em curto</t>
  </si>
  <si>
    <t>Devido o ponto citado nao ter ligação, a placa foi liberada pela engenharia para seguir o processo normalmente sem necessidade de retrabalho.</t>
  </si>
  <si>
    <t>BR0KCKCP1081976S01ZGA00</t>
  </si>
  <si>
    <t>27/2017</t>
  </si>
  <si>
    <t>O teste de ICT diagnosticou "curto" na malha 1098 em relação ao gnd.</t>
  </si>
  <si>
    <t>Não houve retrabalho.</t>
  </si>
  <si>
    <t>BR09DJ181081979E008DA01</t>
  </si>
  <si>
    <t>PL1</t>
  </si>
  <si>
    <t>BR0N8YJW1081979K00GQA00</t>
  </si>
  <si>
    <t>DIMM2</t>
  </si>
  <si>
    <t>Devido ao local, a qualidade da imagem não era suficiente para focar na falha.</t>
  </si>
  <si>
    <t>BR0JP3NX1081978T003DA01</t>
  </si>
  <si>
    <t>Ausência do +5VA</t>
  </si>
  <si>
    <t>U117</t>
  </si>
  <si>
    <t>O componente U117 responsavel pela alimentação das portas USB foi montado com a orientacao errada, interferindo no sinal +5VA. Em outras placas do mesmo modelo os compoenentes U122 e UQ1 que tem a mesma função do componente citado anteriormente também estavam montados com a orientação errada.(BLACHFISH MFF)</t>
  </si>
  <si>
    <t>BR0JP3NX10819782006PA01</t>
  </si>
  <si>
    <t>Falha de PCI(WLAN)</t>
  </si>
  <si>
    <t>Durante teste de FT a placa falhou no teste de PCI(WLAN), durante analise foi constatado que o sianal WLAN_USB_Detect estava faltando. Após troca do U1 a falha foi sanada.</t>
  </si>
  <si>
    <t>BR0H5FVJ1081979F0062A01</t>
  </si>
  <si>
    <t>Q134</t>
  </si>
  <si>
    <t>BR0KCKCP1081979500ZJA01</t>
  </si>
  <si>
    <t>WLAN1</t>
  </si>
  <si>
    <t>Análise realizada pela técnica Edna Baptista.</t>
  </si>
  <si>
    <t>\\Brpcesfil01\DEBUG_EN\1 - Debug\4 - Documentos Gerais\3 - Banco de Arquivos Compartilhados\2 - Imagens\BR0KCKCP1081979500ZJA01.jpg</t>
  </si>
  <si>
    <t>UC1 e UC5.</t>
  </si>
  <si>
    <t>BR0M9X351081978L01YLA00</t>
  </si>
  <si>
    <t>40/2017</t>
  </si>
  <si>
    <t>PLACA APRESENTA TODAS AS TENSÕES, EXCETO SINAL QUE HABILITA LCD E TAMBÉM APRESENTA SEQUÊNCIA DE SETE BEEP'S.</t>
  </si>
  <si>
    <t>XTL_19D2M_X2_CPU</t>
  </si>
  <si>
    <t>C1602</t>
  </si>
  <si>
    <t>CPU1, U2501, U2401, U5001, LCD1.</t>
  </si>
  <si>
    <t>BR0M9X351081978N008IA00</t>
  </si>
  <si>
    <t>09/2017</t>
  </si>
  <si>
    <t>37/2017</t>
  </si>
  <si>
    <t>O CI. U5501 responsável por ligar o monitor de LCD não gera o sinal LCDVDD que deve aferir 3.3V no terminal 3 (VOUT); o componente defeituoso aferi na saída somente 0.25V, característica está, de componente com defeito elétrico.</t>
  </si>
  <si>
    <t>A falha de curto foi diagnosticada pelo teste na malha #30 em relação ao GND, _x000D_
e após abrir o nó constatou-se que o defeito estava sendo induzido pelo terminal 22 do PWM PU3 que estava com defeito elétrico e consequentemente curto circuitando o sinal VCCGT_CSREFA com o GND.</t>
  </si>
  <si>
    <t>Falha na gravação do Mac address no teste functional. O erro diagnosticado pelo teste é "CHK low fail".</t>
  </si>
  <si>
    <t>O modelo SEASPRAY, por tratar-se de server apresenta na etiqueta de Mac address quatro firmware's, cada um composto por 12 dígitos e sequenciais. A gravação nesse projeto é realizada em duas etapas; a primeira é feita na estação de EMMC, que grava os firmware's de EMMC e os dois primeiros MACs, e na segunda etapa, teste functional, é feita a gravação dos dois últimos MACs contidos na etiqueta, e a falha é diagnosticada nessa etapa. Antes de iniciar a gravação o teste faz uma leitura do arquivo contido na bios para averiguar se todos os parâmetros estão conforme o esperado e então poder iniciar a gravação; na amostra defeituosa o teste é abortado por identificar erro de firmware no arquivo contido na bios, defeito comprovado pelo dump realizado no componente com defeito, confirmando que várias linhas binárias estavam com divergência.</t>
  </si>
  <si>
    <t>Falha  Gráfica, placa inicia o teste e trava aparecendo mensagem de erro de kernel e sincronização.</t>
  </si>
  <si>
    <t>Foram aferidos sinais de alimentação e clock e não foi encontrado nenhuma divergência.</t>
  </si>
  <si>
    <t>A falha de curto foi diagnosticada pelo teste na malha #44 em relação ao GND, e após abrir o nó constatou-se que o defeito estava sendo induzido pelo ball  219 do processador CPU1 que estava com defeito elétrico e consequentemente curto circuitando o sinal 1D05V_PWR.</t>
  </si>
  <si>
    <t>“No boot pela rede PXE” - O Mac address aparecia visível e a rede functional em Windows, contudo a opção de “boot PXE” estava desabilitada.</t>
  </si>
  <si>
    <t>NO POWER - PLACA LEVANTA  APENAS TENSÕES PRIMÁRIAS, AO PRESSIONAR BOTÃO DO POWER O SINAL RESPONSÁVEL EM SEGMENTO A SEQUÊNCIA DE POWER SE MANTÉM EM 0V.</t>
  </si>
  <si>
    <t xml:space="preserve">SINAIS AFERIDOS: SIO_SLP_S3# / SUS_ON E RUN_ON AFERINDO 0V, EM UMA PLACA GOLDEN SINAIS AFEREM 3.3V, COM RELAÇÃO AO GND.
</t>
  </si>
  <si>
    <t>PLACA TRAVANDO NO INÍCIO DO DOS, QUANDO NÃO TRAVA REALIZA OS TESTES MUITO LENTAMENTE.</t>
  </si>
  <si>
    <t>O jumper da posição HDA_SDO_PU que faz a ligação da trilha para comunicação do CPLD com o PCH estava na posição errada, "jumpeando" o terminal 2 com 3 e correto seria a terminal 1 com o 2.</t>
  </si>
  <si>
    <t xml:space="preserve">Falha ao fazer o teste "CHK HDD", que consiste na verificação dos HD's conectados a MB. </t>
  </si>
  <si>
    <t xml:space="preserve">Não foi contatado nenhum tipo de falha de sinal relacionado aos circuitos de USB, pois tem apenas 5 portas USB físicas, e a lista de comparação de devices compara 13, foi verificado que se tratava de uma falha de driver._x000D_
</t>
  </si>
  <si>
    <t xml:space="preserve">Foi constatado que o U_CPLD1 não liberava os sinais de enable P1V5_AUX_EN, VR_PVSA_CPU_EN, VR_VCCIO_EN. Foi verificado que o sinal CPLD_PLTRST_N oscilava entre 0.5V e 3,3V liberado pelo U_SRP1_x000D_
</t>
  </si>
  <si>
    <t>#1411 (SENSOR_STANDBY_N) , #1346 (GPIO8), #912 (LCD_DBC), #1404 (AUDIO_PWR_EN), #1405 (PIRQ_GPIO80) aferindo valores diferentes com relação ao GND, em comparação com a placa "Golden". Ao remover o componente, identificado um dano em vários pad´s na posição do processador.</t>
  </si>
  <si>
    <t>1ª ação: Realização da verificação binária contida na gravação das bios (SPI251 e SPI252), e nenhum indício de que os componentes programáveis estavam corrompidos._x000D_
2ª ação: Aferição dos sinais de power, e constatação de que os sinais 1.35V e VCC_CORE estavam com falha._x000D_
_x000D_
3ª ação: Execução do teste de ICT para cobrir ´componentes com defeito, e o teste diagnosticou “short” na malha #396 em relação ao GND (Terra). Constatou-se que o componente com defeito era o PU5101 e estava curto circuitando o sinal PWR_1D35V_LDO_P5 em relação ao GND (Terra)._x000D_
_x000D_
4ª ação: Remoção do componente para a aferição da malha e após removê-lo nenhum curto foi aferido, logo em seguida foi solicitado a inserção de um componente novo para a validação da análise e retrabalho._x000D_
_x000D_
5ª ação: Validação no functional e o defeito foi sanado.</t>
  </si>
  <si>
    <t xml:space="preserve">1ª ação: Confirmação do defeito ao replicá-lo na bancada de análises de debug. Falha real e sem intermitências._x000D_
_x000D_
2ª ação: Aferição dos sinais relacionados ao monitor de LCD e constatação de divergência no sinal VCC5_PANEL. Logo em seguida foi mensurado a origem do sinal e verificado que a saída do misfit U1 estava liberando o sinal V_5_LCD1, concluindo-se que o problema estava entre o U1 e o conector, e entre eles estava o fusível F2, pelo qual a tensão estava sendo interrompida. Ao aferir a continuidade no componente constatou-se que ele estava com uma alta impedância (2.3 ohms), contrária a sua característica, concluindo que trata-se de um defeito elétrico no componente._x000D_
_x000D_
3ª ação: Troca do fusível F2 e validação da análise, todas as amostras apresentaram vídeo após o retrabalho, concluindo que o defeito estava isolado apenas ao componente._x000D_
</t>
  </si>
  <si>
    <t xml:space="preserve">ENCONTRADO EM ANÁLISE VISUAL </t>
  </si>
  <si>
    <t>Placa não liga, não apresentava alerta de memória, tensões primárias ok. (3V e 5V)</t>
  </si>
  <si>
    <t>Faltando os sinais de memória (+1.35VP), VCORE (0.9V), e + VCC_SA(1V), foi visto que não tinha os enable ( SIO_SLP_S3#) e (SIO_SLP_S4#).</t>
  </si>
  <si>
    <t xml:space="preserve">Sinal divergente: PWR_5V_ENTRIP1, aferindo 0V, placa Golden 0.58V. </t>
  </si>
  <si>
    <t>Placa sobe apenas tensões primárias (+5V_AUX / +3P3V_SBS5).</t>
  </si>
  <si>
    <t>Aferido sinal +3P3V_AUX liberado pelo PQ1, sinal aferindo 0V.</t>
  </si>
  <si>
    <t>Falha de "no power" no teste functional, apresentando somente as tensões primárias originadas pela fonte ATX, e ao pressionar o botão liga/desliga, só é verificado um pulso das tensões de boot e logo em seguida a fonte ATX é desarmada.</t>
  </si>
  <si>
    <t xml:space="preserve">A análise verificou nas aferições a diferença de impedância das malhas #1032 e #1035 em relação ao GND, aferindo nas amostras suspeitas 27 ohms e 28.5 ohms, respectivamente, e em uma MB de referência os mesmos nós apresentaram 10.5 ohms e 9.9 ohms. Após isso foi realizado testes no functional e testes de stress para cobrir potenciais falhas, mas nenhum defeito foi replicado. Com esses dados foi definido que essa diferença se trata apenas de uma característica do processador CPU1 e não um diagnóstico de defeito. </t>
  </si>
  <si>
    <t xml:space="preserve">O terminal 5 do conector utilizado para a conexão da fonte de alimentação estava amassado, tirando a referência de GND da fonte geradora de 19V. </t>
  </si>
  <si>
    <t>Sinal LAN_1P05_OUT aferindo curto em relação ao GND, após troca do controlador falha permaneceu, porém transistor responsável pelo chaveamento da alimentação do controlador aferindo baixa impedância.</t>
  </si>
  <si>
    <t>Falha de "no power" no teste functional.</t>
  </si>
  <si>
    <t>Falha ao fazer a leitura da etiqueta de PPID no teste functional.</t>
  </si>
  <si>
    <t>A MB estava com a gravação incorreta do PPID, o firmware contido era BR0VR8V9108196AQ0156A01. Erro corrigido através da regravação do PPID pelo comando "(No Suggestions)" no ambiente DOS, e sem a necessidade de nenhum retrabalho. O comando "(No Suggestions) epic:" deve ser digitado na pasta raiz do ambiente DOS e em seguida escanear a etiqueta de PPID e o erro é corrigido.</t>
  </si>
  <si>
    <t xml:space="preserve">MB não entra no windows, código do erro 0xcooooooe, placa fica em processo de restauração até atingir 100%, após isso reinicia novamente. _x000D_
</t>
  </si>
  <si>
    <t>Placa não apresenta video nas saidas LCD e HDMI.</t>
  </si>
  <si>
    <t xml:space="preserve">No Video nos dois canais de memória, VCORE travado em 1.1V, esperado 0.730V, reset e clock do CPU1 OK (RSMRST#), após um tempo placa desliga sozinha, CPU1 sobreaquecendo. _x000D_
_x000D_
</t>
  </si>
  <si>
    <t>Imagem distorcida pelas saidas LCD1 e HDMI1, imagem apresenta cor anormal e trêmula.</t>
  </si>
  <si>
    <t xml:space="preserve">A MB não ligava devido a falta do sinal +5V_AUX, que é uma das tensões primárias, e após analisar o PWM PU12 que gera o sinal, constatou-se que o resistor  PR201 do sinal de alimentação de 19V do componente estava aberto, foi substituído e o PU12 passou a ser alimentado mas foi verificada também uma baixa impedância no nó #1151, que corresponde ao sinal +5VAUX_LPS_LDO que é derivado do +5V_AUX, e logo em seguida foi encontrado com defeito elétrico o codec de audio e dois capacitores na malha, causando defeito nos sinais +5VA e +3V_BATT. </t>
  </si>
  <si>
    <t>MB Desligando - Tensões principais se fazem presente, porém placa desarma fonte no segundo boot, nenhuma tensão entra em curto para GND após desarme.</t>
  </si>
  <si>
    <t>VCC_CORE /1D35V_S3 /VCCGT/5V_S5/3.3V_S5</t>
  </si>
  <si>
    <t>Placa intermitente, ora trava durante inicialização DOS ora trava ao entrar no windows, com portas USB3.0 conectadas placa não apresenta video. Ao apresentar video existe uma intermitência nos testes USB, REDE, HDMI e AUDIO.</t>
  </si>
  <si>
    <t>Placa desligando durante inicialização do DOS, após clear CMOS placa não reinicia automaticamente, necessário apertar botão do power para liga-la.</t>
  </si>
  <si>
    <t>Placa não sobe tensões primárias 3,3V e 5.1V.  Controlador PU4503  alimentado e recebendo sinal enable 3V_5V_EN.</t>
  </si>
  <si>
    <t>Falha no teste functional de "HDD". Não reconhece o HD pela entrada SATA convencional, mas ao tentar o boot pelas outras entradas como USB ou rede a MB reconhece o HD.</t>
  </si>
  <si>
    <t>Foi constatada a ausência do sinal +5VS que após passar pelo short board R5601 esse sinal é convertido para 5V_HDD que alimenta o HD. Após diagnosticar o sinal com falha, foi verificado que o problema estava sendo causado na origem do sinal, os terminais 13 e 14 do UZ2 não estavam liberando o +5VS devido a um problema de molhagem dos terminais.</t>
  </si>
  <si>
    <t>No video - Enable SIO_SLP_SUS# enviado pelo processador não se mantém constante, conforme sinal oscila tensões sucessoras se comportam da mesma maneira.</t>
  </si>
  <si>
    <t>Falha de A-MV/1D0V_PWR - Regulador PU5201 está alimentado e recebendo sinal de enable, aferido linha de feedback valores corretos, porém sinal 1D0V_PWR ausente.</t>
  </si>
  <si>
    <t>Falha de "led laranja" no teste functional, a amostra não apresentava video e o led piscava initerruptamente na cor laranja.</t>
  </si>
  <si>
    <t xml:space="preserve">O defeito estava sendo causado pela ausência do sinal +3VS que é gerado nos terminais 8 e 9 do regulador de tensão UZ2, interrompendo assim as alimentações de todos os PWMs. </t>
  </si>
  <si>
    <t>Falha de "no vídeo" no teste functional. Amostra apresenta todas as tensões de power e clock.</t>
  </si>
  <si>
    <t>Falha E-compass - Placa não reconhece sensores no Gerenciador de Dispositivos, falha no teste: CHECK ANGLE 0 &gt; HWND=0003027A.</t>
  </si>
  <si>
    <t xml:space="preserve">Aferidos os sinais;  3D3V_GSEN2, SENSOR_I2C_SCL, SENSOR_I2C_SDA, GSEN2_INT1, GSEN2_INT2. </t>
  </si>
  <si>
    <t>Ora apresentou Falha Gráfica 818 - Mods Detected an assertion failure ora apresentou código 229 - Hardware was not initialized.</t>
  </si>
  <si>
    <t>Placa liga e desliga - Sequência de led 1-1 laranja, tensões principais sobem e logo em seguida são desarmadas.</t>
  </si>
  <si>
    <t>Aferido sinais; 3P3V_S5, +VCCPLL_OC, 3P3V_S0, 3P3V_SB, V_12V_CPU_S0, V_CPU_CORE.</t>
  </si>
  <si>
    <t>PCH_RTCRST# AFERINDO 1V E EM UMA PLACA GOLDEN MEDE 3V</t>
  </si>
  <si>
    <t>LED ACENDE, FALTA VCORE E APÓS ALGUNS SEGUNDOS PLACA DESLIGA</t>
  </si>
  <si>
    <t>Falha de "UEFI Boot" no teste functional. Não consegue inicializar o teste.</t>
  </si>
  <si>
    <t>O sinal indicado pelo teste correspondia a malha #39, mas a causa do defeito estava na malha #42 que corresponde ao sinal PVCC_VCCIO e é ligada a  malha #39 através do resistor R707 com valor de 1 ohm. Após diagnosticar o defeito foi constatado que o PWM PU3 estava deslocado.</t>
  </si>
  <si>
    <t xml:space="preserve">Aferidos sinais de CLK do CPU1&gt; +VDDQ_CPU_CLK, reset do CPU1&gt; PM_RSMRST#. </t>
  </si>
  <si>
    <t>Aferidos sinais VCC_CORE, 1D2V_PWR, +VCCGT e tensões primárias 5V e 3.3V.</t>
  </si>
  <si>
    <t xml:space="preserve">Alimentação primária A-MV/PWR_5V aferindo 0.800V,  valor correto 5.1V._x000D_
</t>
  </si>
  <si>
    <t xml:space="preserve">Resistor da linha de feedback, sinal PWR_5V_FB, aferindo 412 K ohms&gt; correto 348 K ohms.  </t>
  </si>
  <si>
    <t>Falha no teste functional no momento de fazer a leitura do Mac address, apresentando o erro "No  Support" após escanear a etiqueta.</t>
  </si>
  <si>
    <t>BAIXA IMPEDÂNCIA DO PVDDQ_MEM_UGATE PARA P1V2_VDDQ.</t>
  </si>
  <si>
    <t>Alimentações primárias +5VSB aferindo 3.9V e +3P3V_SB aferindo 0V.</t>
  </si>
  <si>
    <t>Aferidos sinais de retorno +3P3V_DUAL_FB, +5VSB_FB, alimentação do CI +12V and 5V_Dual e sinais de enable +3P3V_DUAL_EN.</t>
  </si>
  <si>
    <t>Falha de "no power" no teste functional, amostra apresenta somente as tensões elétricas primárias (3.3V e 5V) e pressionando o botão de power pode ser aferido o pulso do sinal POWER_SW_MB mas as tensões secundárias não são ativadas.</t>
  </si>
  <si>
    <t>O terminal 3 do regulador de tensão estava levantado, sem contato nenhum com seu respectivo pad, sendo assim, não regulando o sinal +12V_BUS de entrada e consequentemente não liberando a saída +5V_VESA.</t>
  </si>
  <si>
    <t>Falha "no vídeo" pelas saídas HDMI e DP Port no teste functional. O principal sintoma da placa é a ausência de clock inicial ao alimentar o circuito.</t>
  </si>
  <si>
    <t>A falha de "short" foi diagnosticada no teste de ICT, aferindo 0 Ohm do ponto de acesso 11 em relação ao gnd.</t>
  </si>
  <si>
    <t>O capacitor C1901 provavelmente estava com um curto de solda na parte inferior do seu corpo, curto circuitando a malha 11 que corresponde ao sinal +VDDQ com o gnd.</t>
  </si>
  <si>
    <t>PLACA NÃO APRESENTA VÍDEO NOS SLOT'S DIMM_A1 E DIMM_A2.</t>
  </si>
  <si>
    <t>Falha de "no power" no teste functional, não apresentando nenhuma das tensões elétricas primárias como 5V e 3.3V.</t>
  </si>
  <si>
    <t>O resistor R859 de valor nominal 20 K Ohm que funciona com divisor de tensão e está em série com o processador estava aferindo 0 Ohm, ou seja, estava aferindo aberto e interrompendo o sinal V_3P0_BAT_VREG que ao atravessá-lo sofre a queda de tensão elétrica e se transforma no sinal PCH_RTCRST_PULLUP que faz o reset no processador, devido ao defeito no resistor o reset não acontecia e consequentemente a MB não ligava.</t>
  </si>
  <si>
    <t>MB APRESENTAVA AUTO DESLIGAMENTO DE FORMA QUE A TENSÃO +VCCSA (#30) SUBIA E CAÍA PARA 0V RAPIDAMENTE ENQUANTO AS DEMAIS TENSÕES PRINCIPAIS (EXCETO VCORE, MB LIGADA SEM PROCESSADOR) PERMANECIAM ESTÁVEIS</t>
  </si>
  <si>
    <t>Placa faltando tensão primaria +3P3VAUX_SLOT, sinal de enable gerado pelo próprio controlador.</t>
  </si>
  <si>
    <t>Aferidos; Sinal de enable para o controlador +3P3VAUX_SLOT_EN, alimentação do controlador +12V_DSW.</t>
  </si>
  <si>
    <t>Alimentação primaria +3P3VAUX_SLOT não sobe.</t>
  </si>
  <si>
    <t>Aferidos; Sinal de enable &gt; VR_3P3AUX_SLOT_EN, enviado ao controlador ausente. Aferido também +12V_DSW alimentação do controlador.</t>
  </si>
  <si>
    <t>Placa liga e desliga - Sinais de 1V_CPU_CORE e GFX_CORE travado em 1.0V, correto entre 0.70V a 0.90V.</t>
  </si>
  <si>
    <t xml:space="preserve">Aferidos sinais de alimentação 19V_DCBATOUT, de reset SM_DRAMRST#, PLTRST#_CPU e alimentações do processador e gráfica 1V_CPU_CORE e GFX_CORE. </t>
  </si>
  <si>
    <t>Aferido continuidade entre controlador e conector CARD, alimentação do controlador 3D3V_CARD_S0 e 3D3V_CARD ok, terminal de reconhecimento do SD CARD sinal SD_CD#_CARD ok.</t>
  </si>
  <si>
    <t>Falha de "no vídeo" no teste functional por todas as saídas de vídeo.</t>
  </si>
  <si>
    <t>O sinal PLTRST#_PCH gerado no ball 330 do processador e amarrado na malha 387 estava aferindo 2.9V, porém a tensão elétrica esperada nesse ponto é 3.3V.</t>
  </si>
  <si>
    <t>A falha diagnosticada pelo teste functional foi "Memory Alert", porém ao replicar a falha, constatou-se que se trata de uma falha de "no vídeo", em que a MB liga mas não apresenta imagem e emite beep's de memória faltando.</t>
  </si>
  <si>
    <t>O sinal 1V_CPU_CORE que pode ser aferido através da malha 25 no terminal 2 do indutor PL4701 estava aferindo 1.02V e o esperado para esse ponto no momento que o processador começa a drenar tensão e corrente é 0.82V.</t>
  </si>
  <si>
    <t>O transistor que em nível lógico alto libera o sinal RTC_DET#, estava com defeito, aferindo um curto circuito entre os terminais 1 e 2, fazendo com que a impedância da malha 585 caísse de 10 M Ohm para 5 M Ohm.</t>
  </si>
  <si>
    <t>O capacitor estava queimado, tendendo o valor das malhas que correspondem aos sinais: GFX_CORE e PWR_VGG_BTR, para 0 Ohms e o esperado seria 1 M Ohm, e consequentemente fazendo com que a tensão elétrica no terminal 10 do PU4802 aferisse 2.2V sendo que o esperado é 4.7V.</t>
  </si>
  <si>
    <t>Enable SIO_SLP_SUS# enviado pelo processador não se mantém constante, conforme sinal oscila tensões sucessoras se comportam da mesma maneira.</t>
  </si>
  <si>
    <t>Aferidos; +1VALWP, +1.8VALWP, sinal SIO_SLP_SUS# ausente.</t>
  </si>
  <si>
    <t>Placa não sobe 1V_VCCSA e VCC_CORE, sequência led laranja de 2/1.</t>
  </si>
  <si>
    <t>Aferidos; PWR_VCORE_DRON sinal de enable para alimentação 1V_VCCSA, PWR_VCCSA_PWM, sinal VR_EN enable do controlador VCORE.</t>
  </si>
  <si>
    <t>Placa apresenta imagem distorcida no windows com as duas memórias populadas, com apenas uma memória populada apresenta video sem distorção.</t>
  </si>
  <si>
    <t>Aferidos; EDP_TX_CPU_N0, eDP_TX_CPU_P0, eDP_TX_CPU_N1 sinais de dados, barramento direto para processador, sinal DPLVDS_PANEL_VCC oscilando.</t>
  </si>
  <si>
    <t>Placa não apresenta video pelo JDIMM2.</t>
  </si>
  <si>
    <t>Trilha que liga o terminal 223 do JDIMM2 ao ball 420 do UC1 referente ao sinal DDR_B_D61 #132 está rompida,</t>
  </si>
  <si>
    <t>Placa não sobe alimentações primárias &gt; SB5V, SB3V. Alimentação do controlador ok. sinal enable ausente S5_ENABLE, liberado pelo I/O.</t>
  </si>
  <si>
    <t>Falha functional No Power - Placa sobe alimentação da memória (1D2V_PWR) e tensão auxiliar do processador (+VCCSA) em seguida desarma.</t>
  </si>
  <si>
    <t>Aferidos sinais de enable VR_EN &gt; 3,3V, alimentação do C.I +VCCST_CPU - 19V, cristal oscilando - 32 KHz, sinal VCC_CORE ausente.</t>
  </si>
  <si>
    <t>PPID NÃO GRAVADO, MB APRESENTA FALHA DE PROG-FRU</t>
  </si>
  <si>
    <t>Placa sobe apenas tensões primárias &gt; +5VSB, +3P3VA, led laranja piscando.</t>
  </si>
  <si>
    <t xml:space="preserve">Alimentação da memória &gt; +1P2V_DUAL ausente. Sinais aferidos SLP_S3_N, SLP_S4_N, SLP_SUS#, RSMRST#. </t>
  </si>
  <si>
    <t>A malha 1098 que corresponde ao sinal DQA0_16 estava aferindo 0.5 Ohm em relação ao gnd. Na malha estavam ligados apenas o UV1 e UV17 (não montados nesse projeto). Não foi encontrado nenhum dano visual que poderia ter sido causado durante o processo de montagem e/ou teste, concluindo então que o defeito estava nas camadas de trilhas internas da PCB, caracterizando como defeito de fornecedor da PCB durante a fabricação.</t>
  </si>
  <si>
    <t>Placa apresenta led laranja sequência 4/4, tensões principais +VCORE, +VCCSA sobem porém não apresenta video.</t>
  </si>
  <si>
    <t>Terminais sem molhagem DIMM2.148 sinal DDR_VDDQ, DIMM2.169 sinal M_B_DQ37, sinais de alimentação da memória.</t>
  </si>
  <si>
    <t>tensão +5VA faltando</t>
  </si>
  <si>
    <t>Ausência do sinal WLAN_USB_DETECT</t>
  </si>
  <si>
    <t>PLACA NÃO LIGA, APRESENTA APENAS 3.3 E 5V, GERA UM PULSO E DESLIGA</t>
  </si>
  <si>
    <t>BAIXA IMPEDÂNCIA NO TERMINAL 2 DO Q134, REFERENTE AO SINAL PWRGD_PS_PWROK.</t>
  </si>
  <si>
    <t>Falha de " WLAN Test Fail" no teste functional. Erro apresentado no momento de simular a comunicação de dados via Bluetooth.</t>
  </si>
  <si>
    <t>A análise constatou uma diferença de impedância na malha 210, que corresponde ao sinal USB_PP8_R, em relação ao GND, em que o sinal é responsável pela comunicação via Bluetooth entre o periférico WLAN e processador. Após analisar a malha constatou-se que o defeito estava sendo causado devido a uma rebarba no acabamento do terminal 3 do conector que estava em contato com o terminal 1, e como são constituídos de um metal, tendo como característica a condutividade, causando assim um curto-circuito.</t>
  </si>
  <si>
    <t>Placa não apresenta video, alimentação GFX_CORE sobe, porém não cai para sua tensão de trabalho &gt; correto 0.800V, permanece aferindo 1.01V.</t>
  </si>
  <si>
    <t>Controlador do VCORE recebe sinal de enable &gt; GFX_PWRGD, porém não libera alimentação do processador &gt; +VCORE. Aferidos sinais; IMVP_PWRGD, GFX_PWRGD, SVID, SYS_PWROK.</t>
  </si>
  <si>
    <t>BR0VHXCD1081979F007RA03</t>
  </si>
  <si>
    <t>PLACA APRESENTA LED LARANJA, FALTANDO +VCORE</t>
  </si>
  <si>
    <t>SR59</t>
  </si>
  <si>
    <t>COMPONENTE ARRANCADO DURANTE INSERÇÃO DO HEATSYNC</t>
  </si>
  <si>
    <t>\\Brpcesfil01\DEBUG_EN\1 - Debug\4 - Documentos Gerais\3 - Banco de Arquivos Compartilhados\2 - Imagens\BR0VHXCD1081979F007RA03.jpg</t>
  </si>
  <si>
    <t>BR0P1MTV108197A400KYA01</t>
  </si>
  <si>
    <t>+5VS E +3VS, AMBOS FALTANDO</t>
  </si>
  <si>
    <t>PU100 E PU102</t>
  </si>
  <si>
    <t>PLACA ANALISADA PELO TÉCNICO ALAN CÉSAR ID 04174</t>
  </si>
  <si>
    <t xml:space="preserve"> BR07PR601081979I0178A0</t>
  </si>
  <si>
    <t>Não reconhece as portas USB -&gt; USB 3.0 REAR 1 e USB 3.0 REAR 2</t>
  </si>
  <si>
    <t xml:space="preserve"> valores incorretos nos sinais SB2_EXT_CPU_DP3 e USB2_EXT_CPU_DP2.</t>
  </si>
  <si>
    <t>EU3406</t>
  </si>
  <si>
    <t>Placa não reconhece as portas USB 3.0 REAR 1 e USB 3.0 REAR 2. EU3406 com defeito elétrico gerando valores incorretos nos sinais SB2_EXT_CPU_DP3 e USB2_EXT_CPU_DP2.</t>
  </si>
  <si>
    <t>BR07PR601081979I00T2A01</t>
  </si>
  <si>
    <t>Valores incorretos nos sinais USB_EXT_CHAR_P10 e USB_EXT_CHAR_N10</t>
  </si>
  <si>
    <t>EU3803</t>
  </si>
  <si>
    <t>EU3803 com defeito eletrico gerando falha de USB3_FRONT_1</t>
  </si>
  <si>
    <t>BR0DJ2V21081976E00LRA01</t>
  </si>
  <si>
    <t>/2017</t>
  </si>
  <si>
    <t>BR04TWGW1081976100GLA01</t>
  </si>
  <si>
    <t>BR0KCKCP1081979B00F8A01</t>
  </si>
  <si>
    <t>PR204</t>
  </si>
  <si>
    <t>Analisado por Meire R. Paes.</t>
  </si>
  <si>
    <t>PQ201, PU200, PC215,PC219, PC216, PC217, PC218.</t>
  </si>
  <si>
    <t>BR0H5FVJ1081979G00BUA01</t>
  </si>
  <si>
    <t>CABLES CHK Fail</t>
  </si>
  <si>
    <t>I2C_BACKPLANE1_VMAIN_SDA</t>
  </si>
  <si>
    <t>U90</t>
  </si>
  <si>
    <t>Insuficiencia de solda no terminal 4 do U90 referente ao sinal I2C_BACKPLANE1_VMAIN_SDA.</t>
  </si>
  <si>
    <t>BR0P1MTV1081979S006SA01</t>
  </si>
  <si>
    <t>41/2017</t>
  </si>
  <si>
    <t xml:space="preserve">Sem video </t>
  </si>
  <si>
    <t>Tensão +VCC_CORE faltando</t>
  </si>
  <si>
    <t>RC46</t>
  </si>
  <si>
    <t>CAPACITOR MONTADO NO LUGAR DO RESISTOR RC46 COM VALOR DE 1M OHMS_x000D_
PLACA ANALISADA PELO TÉCNICO RODOLFO ID 7179</t>
  </si>
  <si>
    <t>\\Brpcesfil01\DEBUG_EN\1 - Debug\4 - Documentos Gerais\3 - Banco de Arquivos Compartilhados\2 - Imagens\BR0P1MTV1081979S006SA01.jpg</t>
  </si>
  <si>
    <t>UC1, PU602, PU603, UC5, YC1, UZ2, PU200 E OUTROS.</t>
  </si>
  <si>
    <t>BR0M9X35108197A500WPA00</t>
  </si>
  <si>
    <t>\\Brpcesfil01\DEBUG_EN\1 - Debug\4 - Documentos Gerais\3 - Banco de Arquivos Compartilhados\2 - Imagens\BR0M9X35108197A500WPA000.jpg</t>
  </si>
  <si>
    <t>BR0M9X35108197A501JWA00</t>
  </si>
  <si>
    <t>Falha "A-MV/1V_CPU_CORE" no teste de ICT.</t>
  </si>
  <si>
    <t>O teste diagnosticou falha no circuito de 1V_CPU_CORE, com isso foi realizada a análise do ramo e identificou-se que o controlador do sinal de GFXCORE estava com três terminais sem solda, visivelmente com pouca deposição de pasta de solda nos pad's: 10, 24 e 27 que correspondem respectivamente aos sinais: PWR_VGG_SW, PWR_VGG_FB e PWR_VGG_VSP.</t>
  </si>
  <si>
    <t>PU4802</t>
  </si>
  <si>
    <t>\\Brpcesfil01\DEBUG_EN\1 - Debug\4 - Documentos Gerais\3 - Banco de Arquivos Compartilhados\2 - Imagens\BR0M9X35108197A501JWA004.jpg</t>
  </si>
  <si>
    <t>BR0H5FVJ1081979G00C4A01</t>
  </si>
  <si>
    <t>CN13</t>
  </si>
  <si>
    <t>Jumper</t>
  </si>
  <si>
    <t>\\Brpcesfil01\DEBUG_EN\1 - Debug\4 - Documentos Gerais\3 - Banco de Arquivos Compartilhados\2 - Imagens\BR0H5FVJ1081979G00C4A01.jpg</t>
  </si>
  <si>
    <t>BR03V87V1081979I000WA00</t>
  </si>
  <si>
    <t>CPU2</t>
  </si>
  <si>
    <t>OSC2, U109, SU1, U6702, U15.</t>
  </si>
  <si>
    <t>\\Brpcesfil01\DEBUG_EN\1 - Debug\4 - Documentos Gerais\3 - Banco de Arquivos Compartilhados\2 - Imagens\BR03V87V1081979I000WA00.jpg</t>
  </si>
  <si>
    <t>BR0K4KC11081975M00DBA00</t>
  </si>
  <si>
    <t>24/2017</t>
  </si>
  <si>
    <t>Diagnostico do led laranja sequencia 4/0, indica uma falha relacionada a memória.</t>
  </si>
  <si>
    <t>BR0H5FVJ108197AD005IA01</t>
  </si>
  <si>
    <t>EMMC</t>
  </si>
  <si>
    <t>Falha de "Programação de eMMC".</t>
  </si>
  <si>
    <t>R526</t>
  </si>
  <si>
    <t>REALINHAMENTO</t>
  </si>
  <si>
    <t>\\Brpcesfil01\DEBUG_EN\1 - Debug\4 - Documentos Gerais\3 - Banco de Arquivos Compartilhados\2 - Imagens\BR0H5FVJ108197AD005IA01.jpg</t>
  </si>
  <si>
    <t>BR0H5FVJ108197AE0051A01</t>
  </si>
  <si>
    <t>O jumper CN10 password enable estava faltando, deixando o nó 148 e que corresponde ao sinal PCH_PWD_RST_N 35 aberto.</t>
  </si>
  <si>
    <t>CN10</t>
  </si>
  <si>
    <t>JUMPER</t>
  </si>
  <si>
    <t>\\Brpcesfil01\DEBUG_EN\1 - Debug\4 - Documentos Gerais\3 - Banco de Arquivos Compartilhados\2 - Imagens\BR0H5FVJ108197AE0051A01.jpg</t>
  </si>
  <si>
    <t>BR0H5FVJ108197AD00BXA01</t>
  </si>
  <si>
    <t>WRONG WAY COMPONENT</t>
  </si>
  <si>
    <t>Foi solicitada a substituição da bios, porque o componente recebeu nos terminais de dados/clock tensões de alimentação e nos terminais de alimentação sinais de dados/clock e provavelmente induziu a queima da eeprom ou deixou um defeito latente no componente.</t>
  </si>
  <si>
    <t>\\Brpcesfil01\DEBUG_EN\1 - Debug\4 - Documentos Gerais\3 - Banco de Arquivos Compartilhados\2 - Imagens\BR0H5FVJ108197AD00BXA01.jpg</t>
  </si>
  <si>
    <t>BR0H5FVJ108197AD0064A01</t>
  </si>
  <si>
    <t>Falha durante a programação de EMMC. O teste não consegue configurar o IDRAC.</t>
  </si>
  <si>
    <t>Os resistores R63 e R64 que tem a função de divisor de corrente e tem valor nominal de 80.6 Ohm 16W e 90.9 Ohm 16W, respectivamente, não foram montados. A ausência dos componentes deixam os ramos abertos e interferem no sinal BMC_RGMII_125M_MAC_CLK, que é responsável por configurar o chip U_IDRAC1 durante a gravação na estação de EMMC.</t>
  </si>
  <si>
    <t>R63 e R64</t>
  </si>
  <si>
    <t>\\Brpcesfil01\DEBUG_EN\1 - Debug\4 - Documentos Gerais\3 - Banco de Arquivos Compartilhados\2 - Imagens\BR0H5FVJ108197AD0064A01.jpg</t>
  </si>
  <si>
    <t>BR0M9X35108197A5003KA00</t>
  </si>
  <si>
    <t>X1601</t>
  </si>
  <si>
    <t>BR0J0F4J1081978B0000A01</t>
  </si>
  <si>
    <t xml:space="preserve"> Não transfere o video do LCD para o HDMI.</t>
  </si>
  <si>
    <t>Sinal +3VS incorreto</t>
  </si>
  <si>
    <t>Ao realizar o teste de HDMI a tensao +3VS cai para 2.5v e nao transfere o video do LCD para o HDMI.</t>
  </si>
  <si>
    <t>UC1, LCD1</t>
  </si>
  <si>
    <t>BR0FDY5C108197AB00DRA00</t>
  </si>
  <si>
    <t xml:space="preserve">Placa não liga. </t>
  </si>
  <si>
    <t>Ausência do sinal +VCCSA.</t>
  </si>
  <si>
    <t>PL7</t>
  </si>
  <si>
    <t>Indutor PL7 sem continuidade impedindo o sinal +VCCSA de ser gerado.</t>
  </si>
  <si>
    <t>BR07PR601081979I019LA01</t>
  </si>
  <si>
    <t>NO BOOT</t>
  </si>
  <si>
    <t>PCH1</t>
  </si>
  <si>
    <t>Placa reconhece o HD mas não inicia o teste. PCH1 é responsavel pelo gerenciamento dos HDs.</t>
  </si>
  <si>
    <t>U2501</t>
  </si>
  <si>
    <t>O sinal de reset PCH_PLTRST# estava aferindo 2.5V e o valor de tensão correto deveria ser 3.3V, com isso a amostra não completava a sequência de boot completa.</t>
  </si>
  <si>
    <t>MB não liga come HD conectado</t>
  </si>
  <si>
    <t>Não reconhece a porta USB -&gt; USB3_FRONT_1</t>
  </si>
  <si>
    <t>Falha de thermal, CPU thermistor está aferindo 0C, quando o correto seria medir qualquer valor acima de 1C</t>
  </si>
  <si>
    <t>Foi removido o UC1 para análise dos sinais  (SML1DATA) e (SML1CLK).</t>
  </si>
  <si>
    <t>Ao iniciar o teste no dos, a placa apresenta a seguinte mensagem Loading DRMK version 8.00 HIMEM.SYS 8.07, porém quando inicia perde a comunicação com o HDD e trava</t>
  </si>
  <si>
    <t>Todos sinais de alimentação se encontravam ok, porém  foi desabilitado o circuito gráfico, audio, rede e USB.</t>
  </si>
  <si>
    <t>Placa apresenta falha no ICT de A-MV/+1_2VP &amp; +0_6VSP , sinais referente a memória aferindo acima do valor correto.</t>
  </si>
  <si>
    <t>Sinal +1.2VP aferindo 2V, correto &gt; 1.2V, sinal +0.6VSP aferindo 0.9V, correto 0.6V, ao abrir jump PJP200 tensão incorreta ficou isolado apenas no circuito que o gera.  Resistor PR204 não apresentava nenhum dano visível porém após sua troca MB passou a medir seus valores correto.</t>
  </si>
  <si>
    <t>Falha de "no power" no teste functional, apresentando somente as tensões de 3.3V e 5V.</t>
  </si>
  <si>
    <t>O super I/O está com o terminal 64 levantado, sinal este que recebe o sinal PM_SLP_S3# do processador, interrompendo assim a sequência de boot.</t>
  </si>
  <si>
    <t>Falha de "Prog_FRU Test Fail" no teste functional, tendo como diagnóstico de erro no teste configurações como: data, hora, PPID, etc.</t>
  </si>
  <si>
    <t>O jumper CN13 estava faltando, fazendo com que a malha do sinal PCH_NVRAM_CLR_N perde-se a referência do GND e interrompesse a gravação de dados como: PPID, data, hora, etc., no teste de ICT, onde essas configurações são armazenadas da bios IDRASPI.</t>
  </si>
  <si>
    <t>Placa apresenta falhas de WLAN, USB4, USB3, e SD CARD, durante o teste placa trava sendo necessário forçar seu desligamento.</t>
  </si>
  <si>
    <t>Aferido; alimentações USB &gt; USBVCC14, WLAN &gt; V_3P3_PCIVAUX, SD CARD &gt; VCC3_CARD.</t>
  </si>
  <si>
    <t>Placa sobe tensões principais, porém alimentação 1V_VCCSA e VCC_CORE travados em 1.0V, correto cair para 0.800V tensão de trabalho, led laranja sequência 4/0.</t>
  </si>
  <si>
    <t>Aferido sinais; VCC_CORE, enable PWR_VCORE_UG, tensão auxiliar 1V_VCCSA enable PWR_VCORE_DRON. Terminal do DIMM2.133(M_B_A1) sem molhagem.</t>
  </si>
  <si>
    <t>O resistor R526 de valor nominal 22.6 Ohm 16W e com função de divisor de tensão entre os sinais: BMC_BOOT_SPI_MISO e BMC_BOOT_SPI_MISO_R, foi montado deslocado, e consequentemente acabou fundindo com a solda do terminal 1 do R436 e 2 do R511, formando uma ligação em série entre os resistores, somando assim as três resistências, dividindo a tensão elétrica do sinal BMC_BOOT_SPI_CS0_N e deixando a bios U_IDRAC_SPI1 inativa.</t>
  </si>
  <si>
    <t>Falha de "CABLES CHK Fail" no teste functional. O teste faz uma checagem de todos os periféricos esperados, mas apresentava erro por não encontrar um, contudo não indicava especificamente qual estava faltando.</t>
  </si>
  <si>
    <t>Falha de "LOMFW CHK Fail" no teste functional. O teste identifica um erro na verificação dos firmwares da rede.</t>
  </si>
  <si>
    <t>A bios responsável pelo armazenamento de dados de MAC Address foi montada com a orientação errada, desorientando os sinais: LOM_SO, LOM_SCLK, P3V3_AUX, LOM_CS_N, P3V3_AUX, GND e LOM_SI.</t>
  </si>
  <si>
    <t>Falha de "no power" no teste functional. Apresentando somente os sinais de 3.3V e 5V.</t>
  </si>
  <si>
    <t>O cristal de valor nominal 19 MHZ não estava oscilando e consequentemente não enviava o clock através dos sinais: XTL_19D2M_X1_CPU e XTL_19D2M_X2_CPU para o processador.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</si>
</sst>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000"/>
    <numFmt numFmtId="166" formatCode="0.000000000000"/>
    <numFmt numFmtId="167" formatCode="0.0"/>
  </numFmts>
  <fonts count="20" x14ac:knownFonts="1">
    <font>
      <sz val="11"/>
      <color theme="1"/>
      <name val="Calibri"/>
      <family val="2"/>
      <scheme val="minor"/>
    </font>
    <font>
      <sz val="12"/>
      <color theme="1"/>
      <name val="Calibri"/>
      <family val="2"/>
      <scheme val="minor"/>
    </font>
    <font>
      <sz val="11"/>
      <color theme="4" tint="0.79998168889431442"/>
      <name val="Calibri"/>
      <family val="2"/>
      <scheme val="minor"/>
    </font>
    <font>
      <sz val="11"/>
      <color theme="4" tint="0.59999389629810485"/>
      <name val="Calibri"/>
      <family val="2"/>
      <scheme val="minor"/>
    </font>
    <font>
      <sz val="11"/>
      <color theme="4"/>
      <name val="Calibri"/>
      <family val="2"/>
      <scheme val="minor"/>
    </font>
    <font>
      <u/>
      <sz val="11"/>
      <color theme="10"/>
      <name val="Calibri"/>
      <family val="2"/>
    </font>
    <font>
      <b/>
      <sz val="11"/>
      <color theme="1"/>
      <name val="Calibri"/>
      <family val="2"/>
      <scheme val="minor"/>
    </font>
    <font>
      <b/>
      <sz val="8"/>
      <color theme="1"/>
      <name val="Arial"/>
      <family val="2"/>
    </font>
    <font>
      <sz val="8"/>
      <color theme="1"/>
      <name val="Arial"/>
      <family val="2"/>
    </font>
    <font>
      <u/>
      <sz val="8"/>
      <color theme="1"/>
      <name val="Arial"/>
      <family val="2"/>
    </font>
    <font>
      <sz val="11"/>
      <color theme="1"/>
      <name val="Calibri"/>
      <family val="2"/>
      <scheme val="minor"/>
    </font>
    <font>
      <b/>
      <sz val="12"/>
      <color theme="0"/>
      <name val="Calibri"/>
      <family val="2"/>
      <scheme val="minor"/>
    </font>
    <font>
      <sz val="12"/>
      <color theme="0"/>
      <name val="Calibri"/>
      <family val="2"/>
      <scheme val="minor"/>
    </font>
    <font>
      <sz val="12"/>
      <color theme="1"/>
      <name val="Arial"/>
      <family val="2"/>
    </font>
    <font>
      <b/>
      <sz val="12"/>
      <color theme="0"/>
      <name val="Arial"/>
      <family val="2"/>
    </font>
    <font>
      <sz val="11"/>
      <color theme="1"/>
      <name val="Arial"/>
      <family val="2"/>
    </font>
    <font>
      <b/>
      <sz val="12"/>
      <color theme="1"/>
      <name val="Arial"/>
      <family val="2"/>
    </font>
    <font>
      <b/>
      <sz val="16"/>
      <color theme="0"/>
      <name val="Arial"/>
      <family val="2"/>
    </font>
    <font>
      <b/>
      <sz val="12"/>
      <color theme="1"/>
      <name val="Calibri"/>
      <family val="2"/>
      <scheme val="minor"/>
    </font>
    <font>
      <sz val="11"/>
      <color rgb="FF000000"/>
      <name val="Calibri"/>
      <family val="2"/>
    </font>
  </fonts>
  <fills count="10">
    <fill>
      <patternFill patternType="none"/>
    </fill>
    <fill>
      <patternFill patternType="gray125"/>
    </fill>
    <fill>
      <patternFill patternType="solid">
        <fgColor theme="8" tint="0.79998168889431442"/>
        <bgColor indexed="64"/>
      </patternFill>
    </fill>
    <fill>
      <patternFill patternType="solid">
        <fgColor rgb="FFA5A5A5"/>
      </patternFill>
    </fill>
    <fill>
      <patternFill patternType="solid">
        <fgColor theme="4" tint="0.39997558519241921"/>
        <bgColor indexed="65"/>
      </patternFill>
    </fill>
    <fill>
      <patternFill patternType="solid">
        <fgColor theme="6" tint="0.39997558519241921"/>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1"/>
        <bgColor indexed="64"/>
      </patternFill>
    </fill>
    <fill>
      <patternFill patternType="solid">
        <fgColor theme="3"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double">
        <color rgb="FF3F3F3F"/>
      </left>
      <right style="double">
        <color rgb="FF3F3F3F"/>
      </right>
      <top style="double">
        <color rgb="FF3F3F3F"/>
      </top>
      <bottom style="double">
        <color rgb="FF3F3F3F"/>
      </bottom>
      <diagonal/>
    </border>
    <border>
      <left style="double">
        <color rgb="FF3F3F3F"/>
      </left>
      <right style="medium">
        <color indexed="64"/>
      </right>
      <top/>
      <bottom style="medium">
        <color indexed="64"/>
      </bottom>
      <diagonal/>
    </border>
    <border>
      <left style="double">
        <color rgb="FF3F3F3F"/>
      </left>
      <right style="double">
        <color rgb="FF3F3F3F"/>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double">
        <color rgb="FF3F3F3F"/>
      </left>
      <right style="medium">
        <color indexed="64"/>
      </right>
      <top style="double">
        <color rgb="FF3F3F3F"/>
      </top>
      <bottom style="double">
        <color rgb="FF3F3F3F"/>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5" fillId="0" borderId="0" applyNumberFormat="0" applyFill="0" applyBorder="0" applyAlignment="0" applyProtection="0">
      <alignment vertical="top"/>
      <protection locked="0"/>
    </xf>
    <xf numFmtId="164" fontId="10" fillId="0" borderId="0" applyFont="0" applyFill="0" applyBorder="0" applyAlignment="0" applyProtection="0"/>
    <xf numFmtId="0" fontId="11" fillId="3" borderId="10" applyNumberFormat="0" applyAlignment="0" applyProtection="0"/>
    <xf numFmtId="0" fontId="12" fillId="4" borderId="0" applyNumberFormat="0" applyBorder="0" applyAlignment="0" applyProtection="0"/>
    <xf numFmtId="0" fontId="12"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cellStyleXfs>
  <cellXfs count="80">
    <xf numFmtId="0" fontId="0" fillId="0" borderId="0" xfId="0"/>
    <xf numFmtId="0" fontId="0" fillId="0" borderId="0" xfId="0"/>
    <xf numFmtId="0" fontId="0" fillId="0" borderId="0" xfId="0" applyProtection="1">
      <protection locked="0"/>
    </xf>
    <xf numFmtId="0" fontId="0" fillId="0" borderId="0" xfId="0" applyBorder="1"/>
    <xf numFmtId="0" fontId="2" fillId="0" borderId="0" xfId="0" applyFont="1"/>
    <xf numFmtId="0" fontId="3" fillId="0" borderId="0" xfId="0" applyFont="1"/>
    <xf numFmtId="0" fontId="4" fillId="0" borderId="0" xfId="0" applyFont="1"/>
    <xf numFmtId="0" fontId="0" fillId="2" borderId="0" xfId="0" applyFill="1" applyAlignment="1" applyProtection="1"/>
    <xf numFmtId="0" fontId="0" fillId="0" borderId="0" xfId="0" applyProtection="1"/>
    <xf numFmtId="0" fontId="6" fillId="0" borderId="2" xfId="0" applyFont="1" applyBorder="1"/>
    <xf numFmtId="0" fontId="6" fillId="0" borderId="3" xfId="0" applyFont="1" applyBorder="1"/>
    <xf numFmtId="1" fontId="0" fillId="0" borderId="1" xfId="0" applyNumberFormat="1" applyFill="1" applyBorder="1" applyAlignment="1">
      <alignment horizontal="left"/>
    </xf>
    <xf numFmtId="1" fontId="0" fillId="0" borderId="1" xfId="0" applyNumberFormat="1" applyFill="1" applyBorder="1" applyAlignment="1"/>
    <xf numFmtId="1" fontId="0" fillId="0" borderId="4" xfId="0" applyNumberFormat="1" applyFill="1" applyBorder="1" applyAlignment="1"/>
    <xf numFmtId="0" fontId="0" fillId="0" borderId="1" xfId="0" applyFill="1" applyBorder="1" applyAlignment="1"/>
    <xf numFmtId="0" fontId="0" fillId="0" borderId="5" xfId="0" applyFill="1" applyBorder="1" applyAlignment="1"/>
    <xf numFmtId="1" fontId="0" fillId="0" borderId="5" xfId="0" applyNumberFormat="1" applyFill="1" applyBorder="1" applyAlignment="1">
      <alignment horizontal="left"/>
    </xf>
    <xf numFmtId="1" fontId="0" fillId="0" borderId="5" xfId="0" applyNumberFormat="1" applyFill="1" applyBorder="1" applyAlignment="1"/>
    <xf numFmtId="1" fontId="0" fillId="0" borderId="6" xfId="0" applyNumberFormat="1" applyFill="1" applyBorder="1" applyAlignment="1"/>
    <xf numFmtId="1" fontId="5" fillId="0" borderId="1" xfId="1" applyNumberFormat="1" applyFill="1" applyBorder="1" applyAlignment="1" applyProtection="1"/>
    <xf numFmtId="0" fontId="7" fillId="0" borderId="0" xfId="0" applyFont="1" applyFill="1" applyBorder="1" applyAlignment="1">
      <alignment horizontal="center" vertical="center"/>
    </xf>
    <xf numFmtId="49" fontId="7" fillId="0" borderId="0" xfId="0" applyNumberFormat="1" applyFont="1" applyFill="1" applyBorder="1" applyAlignment="1">
      <alignment horizontal="center" vertical="center"/>
    </xf>
    <xf numFmtId="0" fontId="7" fillId="0" borderId="0" xfId="0" applyFont="1" applyFill="1" applyBorder="1" applyAlignment="1">
      <alignment vertical="center"/>
    </xf>
    <xf numFmtId="0" fontId="8" fillId="0" borderId="0" xfId="0" applyFont="1" applyFill="1" applyBorder="1" applyAlignment="1">
      <alignment horizontal="center"/>
    </xf>
    <xf numFmtId="49" fontId="8" fillId="0" borderId="0" xfId="0" applyNumberFormat="1" applyFont="1" applyFill="1" applyBorder="1" applyAlignment="1">
      <alignment horizontal="center"/>
    </xf>
    <xf numFmtId="0" fontId="9" fillId="0" borderId="0" xfId="1" applyFont="1" applyFill="1" applyBorder="1" applyAlignment="1" applyProtection="1">
      <alignment horizontal="center"/>
    </xf>
    <xf numFmtId="0" fontId="8" fillId="0" borderId="0" xfId="0" applyFont="1" applyFill="1" applyBorder="1" applyAlignment="1">
      <alignment horizontal="center" wrapText="1"/>
    </xf>
    <xf numFmtId="0" fontId="8" fillId="0" borderId="0" xfId="0" applyFont="1" applyFill="1" applyBorder="1"/>
    <xf numFmtId="49" fontId="8" fillId="0" borderId="0" xfId="0" applyNumberFormat="1" applyFont="1" applyFill="1" applyBorder="1"/>
    <xf numFmtId="0" fontId="0" fillId="0" borderId="7" xfId="0" applyBorder="1"/>
    <xf numFmtId="0" fontId="0" fillId="0" borderId="7" xfId="0" applyFill="1" applyBorder="1"/>
    <xf numFmtId="0" fontId="0" fillId="0" borderId="8" xfId="0" applyFill="1" applyBorder="1"/>
    <xf numFmtId="0" fontId="0" fillId="0" borderId="9" xfId="0" applyFill="1" applyBorder="1"/>
    <xf numFmtId="0" fontId="13" fillId="8" borderId="13" xfId="0" applyFont="1" applyFill="1" applyBorder="1" applyAlignment="1" applyProtection="1">
      <alignment horizontal="center"/>
    </xf>
    <xf numFmtId="0" fontId="15" fillId="7" borderId="17" xfId="7" applyNumberFormat="1" applyFont="1" applyBorder="1" applyAlignment="1" applyProtection="1">
      <alignment horizontal="center"/>
    </xf>
    <xf numFmtId="0" fontId="15" fillId="7" borderId="5" xfId="7" applyNumberFormat="1" applyFont="1" applyBorder="1" applyAlignment="1" applyProtection="1">
      <alignment horizontal="center"/>
    </xf>
    <xf numFmtId="166" fontId="15" fillId="7" borderId="5" xfId="7" applyNumberFormat="1" applyFont="1" applyBorder="1" applyAlignment="1" applyProtection="1">
      <alignment horizontal="center"/>
    </xf>
    <xf numFmtId="0" fontId="16" fillId="6" borderId="18" xfId="6" applyNumberFormat="1" applyFont="1" applyBorder="1" applyAlignment="1" applyProtection="1">
      <alignment horizontal="center"/>
    </xf>
    <xf numFmtId="0" fontId="15" fillId="7" borderId="19" xfId="7" applyNumberFormat="1" applyFont="1" applyBorder="1" applyAlignment="1" applyProtection="1">
      <alignment horizontal="center"/>
    </xf>
    <xf numFmtId="0" fontId="15" fillId="7" borderId="1" xfId="7" applyNumberFormat="1" applyFont="1" applyBorder="1" applyAlignment="1" applyProtection="1">
      <alignment horizontal="center"/>
    </xf>
    <xf numFmtId="0" fontId="16" fillId="6" borderId="20" xfId="6" applyNumberFormat="1" applyFont="1" applyBorder="1" applyAlignment="1" applyProtection="1">
      <alignment horizontal="center"/>
    </xf>
    <xf numFmtId="166" fontId="15" fillId="7" borderId="19" xfId="7" applyNumberFormat="1" applyFont="1" applyBorder="1" applyAlignment="1" applyProtection="1">
      <alignment horizontal="center"/>
    </xf>
    <xf numFmtId="0" fontId="16" fillId="6" borderId="19" xfId="6" applyNumberFormat="1" applyFont="1" applyBorder="1" applyAlignment="1" applyProtection="1">
      <alignment horizontal="center"/>
    </xf>
    <xf numFmtId="0" fontId="16" fillId="6" borderId="1" xfId="6" applyNumberFormat="1" applyFont="1" applyBorder="1" applyAlignment="1" applyProtection="1">
      <alignment horizontal="center"/>
    </xf>
    <xf numFmtId="0" fontId="16" fillId="6" borderId="21" xfId="6" applyNumberFormat="1" applyFont="1" applyBorder="1" applyAlignment="1" applyProtection="1">
      <alignment horizontal="center"/>
    </xf>
    <xf numFmtId="0" fontId="14" fillId="4" borderId="22" xfId="4" applyNumberFormat="1" applyFont="1" applyBorder="1" applyAlignment="1" applyProtection="1">
      <alignment horizontal="center"/>
    </xf>
    <xf numFmtId="165" fontId="15" fillId="0" borderId="23" xfId="2" applyNumberFormat="1" applyFont="1" applyBorder="1" applyAlignment="1" applyProtection="1">
      <alignment horizontal="center"/>
    </xf>
    <xf numFmtId="165" fontId="15" fillId="0" borderId="24" xfId="2" applyNumberFormat="1" applyFont="1" applyBorder="1" applyAlignment="1" applyProtection="1">
      <alignment horizontal="center"/>
    </xf>
    <xf numFmtId="0" fontId="13" fillId="0" borderId="24" xfId="0" applyFont="1" applyBorder="1" applyAlignment="1" applyProtection="1">
      <alignment horizontal="center"/>
    </xf>
    <xf numFmtId="0" fontId="13" fillId="0" borderId="25" xfId="0" applyFont="1" applyBorder="1" applyAlignment="1" applyProtection="1">
      <alignment horizontal="center"/>
    </xf>
    <xf numFmtId="0" fontId="13" fillId="8" borderId="20" xfId="0" applyFont="1" applyFill="1" applyBorder="1" applyAlignment="1" applyProtection="1">
      <alignment horizontal="center"/>
    </xf>
    <xf numFmtId="0" fontId="14" fillId="5" borderId="1" xfId="5" applyFont="1" applyBorder="1" applyAlignment="1" applyProtection="1">
      <alignment horizontal="center" vertical="center" wrapText="1"/>
    </xf>
    <xf numFmtId="0" fontId="14" fillId="5" borderId="20" xfId="5" applyFont="1" applyBorder="1" applyAlignment="1" applyProtection="1">
      <alignment horizontal="center" vertical="center" wrapText="1"/>
    </xf>
    <xf numFmtId="1" fontId="15" fillId="7" borderId="1" xfId="7" applyNumberFormat="1" applyFont="1" applyBorder="1" applyAlignment="1" applyProtection="1">
      <alignment horizontal="center"/>
    </xf>
    <xf numFmtId="1" fontId="15" fillId="7" borderId="19" xfId="7" applyNumberFormat="1" applyFont="1" applyBorder="1" applyAlignment="1" applyProtection="1">
      <alignment horizontal="center"/>
    </xf>
    <xf numFmtId="0" fontId="16" fillId="6" borderId="27" xfId="6" applyNumberFormat="1" applyFont="1" applyBorder="1" applyAlignment="1" applyProtection="1">
      <alignment horizontal="center"/>
    </xf>
    <xf numFmtId="0" fontId="16" fillId="6" borderId="4" xfId="6" applyNumberFormat="1" applyFont="1" applyBorder="1" applyAlignment="1" applyProtection="1">
      <alignment horizontal="center"/>
    </xf>
    <xf numFmtId="0" fontId="16" fillId="6" borderId="28" xfId="6" applyNumberFormat="1" applyFont="1" applyBorder="1" applyAlignment="1" applyProtection="1">
      <alignment horizontal="center"/>
    </xf>
    <xf numFmtId="0" fontId="16" fillId="5" borderId="16" xfId="5" applyFont="1" applyBorder="1" applyAlignment="1" applyProtection="1">
      <alignment horizontal="center" vertical="center" wrapText="1"/>
      <protection locked="0"/>
    </xf>
    <xf numFmtId="0" fontId="16" fillId="5" borderId="15" xfId="5" applyFont="1" applyBorder="1" applyAlignment="1" applyProtection="1">
      <alignment horizontal="center" vertical="center" wrapText="1"/>
    </xf>
    <xf numFmtId="0" fontId="18" fillId="9" borderId="10" xfId="3" applyFont="1" applyFill="1" applyBorder="1" applyAlignment="1" applyProtection="1">
      <alignment horizontal="center"/>
      <protection locked="0"/>
    </xf>
    <xf numFmtId="0" fontId="18" fillId="9" borderId="12" xfId="3" applyFont="1" applyFill="1" applyBorder="1" applyAlignment="1" applyProtection="1">
      <alignment horizontal="center"/>
      <protection locked="0"/>
    </xf>
    <xf numFmtId="0" fontId="17" fillId="4" borderId="30" xfId="4" applyNumberFormat="1" applyFont="1" applyBorder="1" applyAlignment="1" applyProtection="1">
      <alignment horizontal="center"/>
    </xf>
    <xf numFmtId="0" fontId="5" fillId="0" borderId="0" xfId="1" applyFill="1" applyBorder="1" applyAlignment="1" applyProtection="1">
      <alignment horizontal="center"/>
    </xf>
    <xf numFmtId="0" fontId="0" fillId="2" borderId="0" xfId="0" applyFill="1" applyAlignment="1" applyProtection="1">
      <alignment horizontal="center" wrapText="1"/>
    </xf>
    <xf numFmtId="0" fontId="0" fillId="2" borderId="0" xfId="0" applyFill="1" applyAlignment="1" applyProtection="1">
      <alignment horizontal="center"/>
    </xf>
    <xf numFmtId="0" fontId="17" fillId="4" borderId="2" xfId="4" applyNumberFormat="1" applyFont="1" applyBorder="1" applyAlignment="1" applyProtection="1">
      <alignment horizontal="center"/>
    </xf>
    <xf numFmtId="0" fontId="17" fillId="4" borderId="3" xfId="4" applyNumberFormat="1" applyFont="1" applyBorder="1" applyAlignment="1" applyProtection="1">
      <alignment horizontal="center"/>
    </xf>
    <xf numFmtId="0" fontId="17" fillId="4" borderId="29" xfId="4" applyNumberFormat="1" applyFont="1" applyBorder="1" applyAlignment="1" applyProtection="1">
      <alignment horizontal="center"/>
    </xf>
    <xf numFmtId="165" fontId="18" fillId="9" borderId="12" xfId="3" applyNumberFormat="1" applyFont="1" applyFill="1" applyBorder="1" applyAlignment="1" applyProtection="1">
      <alignment horizontal="center"/>
    </xf>
    <xf numFmtId="165" fontId="18" fillId="9" borderId="11" xfId="3" applyNumberFormat="1" applyFont="1" applyFill="1" applyBorder="1" applyAlignment="1" applyProtection="1">
      <alignment horizontal="center"/>
    </xf>
    <xf numFmtId="0" fontId="17" fillId="4" borderId="25" xfId="4" applyNumberFormat="1" applyFont="1" applyBorder="1" applyAlignment="1" applyProtection="1">
      <alignment horizontal="center"/>
    </xf>
    <xf numFmtId="0" fontId="17" fillId="4" borderId="24" xfId="4" applyNumberFormat="1" applyFont="1" applyBorder="1" applyAlignment="1" applyProtection="1">
      <alignment horizontal="center"/>
    </xf>
    <xf numFmtId="0" fontId="17" fillId="4" borderId="23" xfId="4" applyNumberFormat="1" applyFont="1" applyBorder="1" applyAlignment="1" applyProtection="1">
      <alignment horizontal="center"/>
    </xf>
    <xf numFmtId="0" fontId="14" fillId="5" borderId="1" xfId="5" applyFont="1" applyBorder="1" applyAlignment="1" applyProtection="1">
      <alignment horizontal="center" vertical="center"/>
    </xf>
    <xf numFmtId="0" fontId="14" fillId="5" borderId="19" xfId="5" applyFont="1" applyBorder="1" applyAlignment="1" applyProtection="1">
      <alignment horizontal="center" vertical="center"/>
    </xf>
    <xf numFmtId="167" fontId="18" fillId="9" borderId="10" xfId="3" applyNumberFormat="1" applyFont="1" applyFill="1" applyBorder="1" applyAlignment="1" applyProtection="1">
      <alignment horizontal="center"/>
    </xf>
    <xf numFmtId="167" fontId="18" fillId="9" borderId="26" xfId="3" applyNumberFormat="1" applyFont="1" applyFill="1" applyBorder="1" applyAlignment="1" applyProtection="1">
      <alignment horizontal="center"/>
    </xf>
    <xf numFmtId="0" fontId="16" fillId="5" borderId="15" xfId="5" applyFont="1" applyBorder="1" applyAlignment="1" applyProtection="1">
      <alignment horizontal="center" vertical="center"/>
    </xf>
    <xf numFmtId="0" fontId="16" fillId="5" borderId="14" xfId="5" applyFont="1" applyBorder="1" applyAlignment="1" applyProtection="1">
      <alignment horizontal="center" vertical="center"/>
    </xf>
  </cellXfs>
  <cellStyles count="8">
    <cellStyle name="20% - Accent5" xfId="6" builtinId="46"/>
    <cellStyle name="20% - Accent6" xfId="7" builtinId="50"/>
    <cellStyle name="60% - Accent1" xfId="4" builtinId="32"/>
    <cellStyle name="60% - Accent3" xfId="5" builtinId="40"/>
    <cellStyle name="Check Cell" xfId="3" builtinId="23"/>
    <cellStyle name="Comma" xfId="2" builtinId="3"/>
    <cellStyle name="Hyperlink" xfId="1" builtinId="8"/>
    <cellStyle name="Normal" xfId="0" builtinId="0"/>
  </cellStyles>
  <dxfs count="9">
    <dxf>
      <fill>
        <patternFill patternType="none">
          <fgColor indexed="64"/>
          <bgColor indexed="65"/>
        </patternFill>
      </fill>
      <border diagonalUp="0" diagonalDown="0">
        <left style="thin">
          <color indexed="64"/>
        </left>
        <right/>
        <top/>
        <bottom/>
      </border>
    </dxf>
    <dxf>
      <fill>
        <patternFill patternType="none">
          <fgColor indexed="64"/>
          <bgColor indexed="65"/>
        </patternFill>
      </fill>
      <border diagonalUp="0" diagonalDown="0" outline="0">
        <left style="thin">
          <color indexed="64"/>
        </left>
        <right/>
      </border>
    </dxf>
    <dxf>
      <fill>
        <patternFill patternType="none">
          <fgColor indexed="64"/>
          <bgColor indexed="65"/>
        </patternFill>
      </fill>
      <border diagonalUp="0" diagonalDown="0" outline="0">
        <left style="thin">
          <color indexed="64"/>
        </left>
        <right style="thin">
          <color indexed="64"/>
        </right>
      </border>
    </dxf>
    <dxf>
      <fill>
        <patternFill patternType="none">
          <fgColor indexed="64"/>
          <bgColor indexed="65"/>
        </patternFill>
      </fill>
      <border diagonalUp="0" diagonalDown="0" outline="0">
        <left style="thin">
          <color indexed="64"/>
        </left>
        <right style="thin">
          <color indexed="64"/>
        </right>
      </border>
    </dxf>
    <dxf>
      <fill>
        <patternFill patternType="none">
          <fgColor indexed="64"/>
          <bgColor indexed="65"/>
        </patternFill>
      </fill>
      <border diagonalUp="0" diagonalDown="0" outline="0">
        <left style="thin">
          <color indexed="64"/>
        </left>
        <right style="thin">
          <color indexed="64"/>
        </right>
      </border>
    </dxf>
    <dxf>
      <fill>
        <patternFill patternType="none">
          <fgColor indexed="64"/>
          <bgColor indexed="65"/>
        </patternFill>
      </fill>
      <border diagonalUp="0" diagonalDown="0" outline="0">
        <left style="thin">
          <color indexed="64"/>
        </left>
        <right style="thin">
          <color indexed="64"/>
        </right>
      </border>
    </dxf>
    <dxf>
      <fill>
        <patternFill patternType="none">
          <fgColor indexed="64"/>
          <bgColor auto="1"/>
        </patternFill>
      </fill>
      <border outline="0">
        <right style="thin">
          <color indexed="64"/>
        </right>
      </border>
    </dxf>
    <dxf>
      <border outline="0">
        <right style="thin">
          <color indexed="64"/>
        </right>
      </border>
    </dxf>
    <dxf>
      <font>
        <b val="0"/>
        <i val="0"/>
        <strike val="0"/>
        <condense val="0"/>
        <extend val="0"/>
        <outline val="0"/>
        <shadow val="0"/>
        <u val="none"/>
        <vertAlign val="baseline"/>
        <sz val="11"/>
        <color theme="4"/>
        <name val="Calibri"/>
        <scheme val="minor"/>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95250</xdr:rowOff>
    </xdr:from>
    <xdr:to>
      <xdr:col>22</xdr:col>
      <xdr:colOff>73884</xdr:colOff>
      <xdr:row>28</xdr:row>
      <xdr:rowOff>142875</xdr:rowOff>
    </xdr:to>
    <xdr:pic macro="[0]!Picture1_Click">
      <xdr:nvPicPr>
        <xdr:cNvPr id="2" name="Picture 1" descr="download.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809750" y="1428750"/>
          <a:ext cx="11535634" cy="4048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419101</xdr:colOff>
      <xdr:row>5</xdr:row>
      <xdr:rowOff>85724</xdr:rowOff>
    </xdr:from>
    <xdr:to>
      <xdr:col>6</xdr:col>
      <xdr:colOff>333376</xdr:colOff>
      <xdr:row>15</xdr:row>
      <xdr:rowOff>95249</xdr:rowOff>
    </xdr:to>
    <xdr:pic>
      <xdr:nvPicPr>
        <xdr:cNvPr id="11" name="Picture 10" descr="blank.JPG">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cstate="print"/>
        <a:stretch>
          <a:fillRect/>
        </a:stretch>
      </xdr:blipFill>
      <xdr:spPr>
        <a:xfrm>
          <a:off x="419101" y="1419224"/>
          <a:ext cx="3810000" cy="1914525"/>
        </a:xfrm>
        <a:prstGeom prst="rect">
          <a:avLst/>
        </a:prstGeom>
      </xdr:spPr>
    </xdr:pic>
    <xdr:clientData/>
  </xdr:twoCellAnchor>
  <xdr:twoCellAnchor>
    <xdr:from>
      <xdr:col>0</xdr:col>
      <xdr:colOff>76200</xdr:colOff>
      <xdr:row>0</xdr:row>
      <xdr:rowOff>152399</xdr:rowOff>
    </xdr:from>
    <xdr:to>
      <xdr:col>7</xdr:col>
      <xdr:colOff>0</xdr:colOff>
      <xdr:row>4</xdr:row>
      <xdr:rowOff>152400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66700" y="152399"/>
          <a:ext cx="4953000" cy="7620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000" b="1"/>
            <a:t>PAINEL</a:t>
          </a:r>
          <a:r>
            <a:rPr lang="en-US" sz="3000" b="1" baseline="0"/>
            <a:t> DE CONTROLE </a:t>
          </a:r>
          <a:endParaRPr lang="en-US" sz="3000" b="1"/>
        </a:p>
      </xdr:txBody>
    </xdr:sp>
    <xdr:clientData/>
  </xdr:twoCellAnchor>
  <xdr:twoCellAnchor>
    <xdr:from>
      <xdr:col>0</xdr:col>
      <xdr:colOff>381000</xdr:colOff>
      <xdr:row>16</xdr:row>
      <xdr:rowOff>161924</xdr:rowOff>
    </xdr:from>
    <xdr:to>
      <xdr:col>6</xdr:col>
      <xdr:colOff>314325</xdr:colOff>
      <xdr:row>19</xdr:row>
      <xdr:rowOff>66675</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571500" y="3590924"/>
          <a:ext cx="3829050" cy="476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200" b="0"/>
            <a:t>Sistema de Report de análises ("Logbook") V 1.5 (beta)</a:t>
          </a:r>
        </a:p>
        <a:p>
          <a:pPr algn="ctr"/>
          <a:r>
            <a:rPr lang="en-US" sz="1200" b="0"/>
            <a:t>Responsável: Rafael Lisboa</a:t>
          </a:r>
        </a:p>
      </xdr:txBody>
    </xdr:sp>
    <xdr:clientData/>
  </xdr:twoCellAnchor>
  <xdr:twoCellAnchor editAs="oneCell">
    <xdr:from>
      <xdr:col>5</xdr:col>
      <xdr:colOff>57151</xdr:colOff>
      <xdr:row>5</xdr:row>
      <xdr:rowOff>176213</xdr:rowOff>
    </xdr:from>
    <xdr:to>
      <xdr:col>6</xdr:col>
      <xdr:colOff>381000</xdr:colOff>
      <xdr:row>10</xdr:row>
      <xdr:rowOff>157162</xdr:rowOff>
    </xdr:to>
    <xdr:pic macro="[0]!Picture8_Click">
      <xdr:nvPicPr>
        <xdr:cNvPr id="9" name="Picture 8" descr="application_vnd_oasis_opendocument_database.ic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cstate="print">
          <a:duotone>
            <a:schemeClr val="accent3">
              <a:shade val="45000"/>
              <a:satMod val="135000"/>
            </a:schemeClr>
            <a:prstClr val="white"/>
          </a:duotone>
        </a:blip>
        <a:stretch>
          <a:fillRect/>
        </a:stretch>
      </xdr:blipFill>
      <xdr:spPr>
        <a:xfrm>
          <a:off x="3343276" y="1128713"/>
          <a:ext cx="933449" cy="933449"/>
        </a:xfrm>
        <a:prstGeom prst="rect">
          <a:avLst/>
        </a:prstGeom>
      </xdr:spPr>
    </xdr:pic>
    <xdr:clientData/>
  </xdr:twoCellAnchor>
  <xdr:twoCellAnchor editAs="oneCell">
    <xdr:from>
      <xdr:col>0</xdr:col>
      <xdr:colOff>428625</xdr:colOff>
      <xdr:row>5</xdr:row>
      <xdr:rowOff>142875</xdr:rowOff>
    </xdr:from>
    <xdr:to>
      <xdr:col>2</xdr:col>
      <xdr:colOff>209550</xdr:colOff>
      <xdr:row>11</xdr:row>
      <xdr:rowOff>0</xdr:rowOff>
    </xdr:to>
    <xdr:pic macro="[0]!Picture6_Click">
      <xdr:nvPicPr>
        <xdr:cNvPr id="7" name="Picture 6" descr="insert_object.ico">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cstate="print">
          <a:duotone>
            <a:schemeClr val="accent3">
              <a:shade val="45000"/>
              <a:satMod val="135000"/>
            </a:schemeClr>
            <a:prstClr val="white"/>
          </a:duotone>
        </a:blip>
        <a:stretch>
          <a:fillRect/>
        </a:stretch>
      </xdr:blipFill>
      <xdr:spPr>
        <a:xfrm>
          <a:off x="428625" y="1095375"/>
          <a:ext cx="1000125" cy="1000125"/>
        </a:xfrm>
        <a:prstGeom prst="rect">
          <a:avLst/>
        </a:prstGeom>
      </xdr:spPr>
    </xdr:pic>
    <xdr:clientData/>
  </xdr:twoCellAnchor>
  <xdr:twoCellAnchor editAs="oneCell">
    <xdr:from>
      <xdr:col>3</xdr:col>
      <xdr:colOff>276225</xdr:colOff>
      <xdr:row>12</xdr:row>
      <xdr:rowOff>47625</xdr:rowOff>
    </xdr:from>
    <xdr:to>
      <xdr:col>4</xdr:col>
      <xdr:colOff>57150</xdr:colOff>
      <xdr:row>15</xdr:row>
      <xdr:rowOff>9525</xdr:rowOff>
    </xdr:to>
    <xdr:pic macro="[0]!Picture9_Click">
      <xdr:nvPicPr>
        <xdr:cNvPr id="10" name="Picture 9" descr="document_save.ico">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blip>
        <a:stretch>
          <a:fillRect/>
        </a:stretch>
      </xdr:blipFill>
      <xdr:spPr>
        <a:xfrm>
          <a:off x="2105025" y="2333625"/>
          <a:ext cx="533400" cy="533400"/>
        </a:xfrm>
        <a:prstGeom prst="rect">
          <a:avLst/>
        </a:prstGeom>
      </xdr:spPr>
    </xdr:pic>
    <xdr:clientData/>
  </xdr:twoCellAnchor>
  <xdr:twoCellAnchor editAs="absolute">
    <xdr:from>
      <xdr:col>3</xdr:col>
      <xdr:colOff>95250</xdr:colOff>
      <xdr:row>6</xdr:row>
      <xdr:rowOff>4762</xdr:rowOff>
    </xdr:from>
    <xdr:to>
      <xdr:col>4</xdr:col>
      <xdr:colOff>238125</xdr:colOff>
      <xdr:row>10</xdr:row>
      <xdr:rowOff>138112</xdr:rowOff>
    </xdr:to>
    <xdr:pic macro="[0]!Picture7_Click">
      <xdr:nvPicPr>
        <xdr:cNvPr id="8" name="Picture 7" descr="gtk_find_and_replace.pn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blip>
        <a:stretch>
          <a:fillRect/>
        </a:stretch>
      </xdr:blipFill>
      <xdr:spPr>
        <a:xfrm>
          <a:off x="1924050" y="1147762"/>
          <a:ext cx="895350" cy="8953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1</xdr:row>
          <xdr:rowOff>123825</xdr:rowOff>
        </xdr:from>
        <xdr:to>
          <xdr:col>0</xdr:col>
          <xdr:colOff>1981200</xdr:colOff>
          <xdr:row>5</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Salvar e sair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19</xdr:row>
          <xdr:rowOff>123825</xdr:rowOff>
        </xdr:from>
        <xdr:to>
          <xdr:col>1</xdr:col>
          <xdr:colOff>9525</xdr:colOff>
          <xdr:row>23</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Salvar e sair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6" totalsRowShown="0">
  <autoFilter ref="A1:A6" xr:uid="{00000000-0009-0000-0100-000001000000}"/>
  <tableColumns count="1">
    <tableColumn id="1" xr3:uid="{00000000-0010-0000-0000-000001000000}" name="Estação"/>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1:B31" totalsRowShown="0">
  <autoFilter ref="B1:B31" xr:uid="{00000000-0009-0000-0100-000003000000}"/>
  <tableColumns count="1">
    <tableColumn id="1" xr3:uid="{00000000-0010-0000-0100-000001000000}" name="Tipo"/>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C1:C31" totalsRowShown="0">
  <autoFilter ref="C1:C31" xr:uid="{00000000-0009-0000-0100-000004000000}"/>
  <tableColumns count="1">
    <tableColumn id="1" xr3:uid="{00000000-0010-0000-0200-000001000000}" name="TipoReparo"/>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D1:D31" totalsRowShown="0">
  <autoFilter ref="D1:D31" xr:uid="{00000000-0009-0000-0100-000005000000}"/>
  <tableColumns count="1">
    <tableColumn id="1" xr3:uid="{00000000-0010-0000-0300-000001000000}" name="Tecnico"/>
  </tableColumns>
  <tableStyleInfo name="TableStyleMedium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E1:E32" totalsRowShown="0">
  <autoFilter ref="E1:E32" xr:uid="{00000000-0009-0000-0100-000006000000}"/>
  <tableColumns count="1">
    <tableColumn id="1" xr3:uid="{00000000-0010-0000-0400-000001000000}" name="TipoComponent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F1:F44" totalsRowShown="0">
  <autoFilter ref="F1:F44" xr:uid="{00000000-0009-0000-0100-000007000000}"/>
  <sortState xmlns:xlrd2="http://schemas.microsoft.com/office/spreadsheetml/2017/richdata2" ref="F2:F38">
    <sortCondition ref="F1:F38"/>
  </sortState>
  <tableColumns count="1">
    <tableColumn id="1" xr3:uid="{00000000-0010-0000-0500-000001000000}" name="Modelo"/>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G1:P44" totalsRowShown="0" headerRowDxfId="8">
  <autoFilter ref="G1:P44" xr:uid="{00000000-0009-0000-0100-000008000000}"/>
  <sortState xmlns:xlrd2="http://schemas.microsoft.com/office/spreadsheetml/2017/richdata2" ref="G2:O54">
    <sortCondition ref="O1:O54"/>
  </sortState>
  <tableColumns count="10">
    <tableColumn id="1" xr3:uid="{00000000-0010-0000-0600-000001000000}" name="NomeSenha"/>
    <tableColumn id="2" xr3:uid="{00000000-0010-0000-0600-000002000000}" name="UsuarioSenha"/>
    <tableColumn id="3" xr3:uid="{00000000-0010-0000-0600-000003000000}" name="NumeroSenha" dataDxfId="7"/>
    <tableColumn id="4" xr3:uid="{00000000-0010-0000-0600-000004000000}" name="Column1" dataDxfId="6"/>
    <tableColumn id="5" xr3:uid="{00000000-0010-0000-0600-000005000000}" name="Column2" dataDxfId="5"/>
    <tableColumn id="6" xr3:uid="{00000000-0010-0000-0600-000006000000}" name="Column3" dataDxfId="4"/>
    <tableColumn id="7" xr3:uid="{00000000-0010-0000-0600-000007000000}" name="Column4" dataDxfId="3"/>
    <tableColumn id="8" xr3:uid="{00000000-0010-0000-0600-000008000000}" name="Intel SPEC " dataDxfId="2"/>
    <tableColumn id="9" xr3:uid="{00000000-0010-0000-0600-000009000000}" name="Processor Type" dataDxfId="1"/>
    <tableColumn id="10" xr3:uid="{00000000-0010-0000-0600-00000A000000}" name="Imagem da Jiga"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printerSettings" Target="../printerSettings/printerSettings3.bin"/><Relationship Id="rId1" Type="http://schemas.openxmlformats.org/officeDocument/2006/relationships/hyperlink" Target="file:///\\Brpcesfil01\DEBUG_EN\1%20-%20Debug\3%20-%20OSV+\3%20-%20Banco%20de%20Arquivos\1%20-%20Imagens\BR09WC1G1081972A002BA01.jpg"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4.xml.rels><?xml version="1.0" encoding="UTF-8" standalone="yes"?>
<Relationships xmlns="http://schemas.openxmlformats.org/package/2006/relationships"><Relationship Id="rId8" Type="http://schemas.openxmlformats.org/officeDocument/2006/relationships/hyperlink" Target="../An&#225;lises%20Visuais%20-%20NPI/NPI%20FARALLON/DEFEITOS%20DE%20ICT/01%20de%20abril%20de%202016/1&#186;%20Turno/BR0YD6JR10819641003SA00" TargetMode="External"/><Relationship Id="rId13" Type="http://schemas.openxmlformats.org/officeDocument/2006/relationships/hyperlink" Target="file:///\\Brpcesfil01\DEBUG_EN\1%20-%20Debug\4%20-%20Documentos%20Gerais\3%20-%20Banco%20de%20Arquivos%20Compartilhados\2%20-%20Imagens\BR0PYXMC1081966R0049A02.jpg" TargetMode="External"/><Relationship Id="rId18" Type="http://schemas.openxmlformats.org/officeDocument/2006/relationships/printerSettings" Target="../printerSettings/printerSettings4.bin"/><Relationship Id="rId3" Type="http://schemas.openxmlformats.org/officeDocument/2006/relationships/hyperlink" Target="../An&#225;lises%20Visuais%20-%20Pasta%20Geral/BR09WGNT1081967K00T0A00" TargetMode="External"/><Relationship Id="rId21" Type="http://schemas.openxmlformats.org/officeDocument/2006/relationships/ctrlProp" Target="../ctrlProps/ctrlProp1.xml"/><Relationship Id="rId7" Type="http://schemas.openxmlformats.org/officeDocument/2006/relationships/hyperlink" Target="../An&#225;lises%20Visuais%20-%20Pasta%20Geral/BR0MP6TF1081964L001OA04.bmp" TargetMode="External"/><Relationship Id="rId12" Type="http://schemas.openxmlformats.org/officeDocument/2006/relationships/hyperlink" Target="file:///\\Brpcesfil01\DEBUG_EN\1%20-%20Debug\4%20-%20Documentos%20Gerais\3%20-%20Banco%20de%20Arquivos%20Compartilhados\2%20-%20Imagens\BR09WC1G108197290002A01" TargetMode="External"/><Relationship Id="rId17" Type="http://schemas.openxmlformats.org/officeDocument/2006/relationships/hyperlink" Target="file:///\\Brpcesfil01\DEBUG_EN\1%20-%20Debug\4%20-%20Documentos%20Gerais\3%20-%20Banco%20de%20Arquivos%20Compartilhados\2%20-%20Imagens\BR03V87V1081979I000WA00.jpg" TargetMode="External"/><Relationship Id="rId2" Type="http://schemas.openxmlformats.org/officeDocument/2006/relationships/hyperlink" Target="../An&#225;lises%20Visuais%20-%20Pasta%20Geral/BR0K2M3D10819664007AA00" TargetMode="External"/><Relationship Id="rId16" Type="http://schemas.openxmlformats.org/officeDocument/2006/relationships/hyperlink" Target="file:///\\Brpcesfil01\DEBUG_EN\4%20-%20NPI\34%20-%20OUGA%2013\1%20-%20Imagens%20-%20Falhas%20FT\15-08-2017\BR0OUGAD1081978B010EA000.jpg" TargetMode="External"/><Relationship Id="rId20" Type="http://schemas.openxmlformats.org/officeDocument/2006/relationships/vmlDrawing" Target="../drawings/vmlDrawing1.vml"/><Relationship Id="rId1" Type="http://schemas.openxmlformats.org/officeDocument/2006/relationships/hyperlink" Target="../An&#225;lises%20Visuais%20-%20Pasta%20Geral/" TargetMode="External"/><Relationship Id="rId6" Type="http://schemas.openxmlformats.org/officeDocument/2006/relationships/hyperlink" Target="../An&#225;lises%20Visuais%20-%20Pasta%20Geral/BR0W1MP61081965H005MA07.bmp" TargetMode="External"/><Relationship Id="rId11" Type="http://schemas.openxmlformats.org/officeDocument/2006/relationships/hyperlink" Target="file:///\\Brpcesfil01\DEBUG_EN\4%20-%20NPI\25%20-%20BLACKFISH%20SFF%20(8NPPY)\2%20-%20Imagens%20-%20Falhas%20ICT\20-01-17\BR08NPPY1081971J002ZA00.jpg" TargetMode="External"/><Relationship Id="rId5" Type="http://schemas.openxmlformats.org/officeDocument/2006/relationships/hyperlink" Target="../An&#225;lises%20Visuais%20-%20Pasta%20Geral/BR0W1MP61081965I007YA07.bmp" TargetMode="External"/><Relationship Id="rId15" Type="http://schemas.openxmlformats.org/officeDocument/2006/relationships/hyperlink" Target="file:///\\Brpcesfil01\DEBUG_EN\4%20-%20NPI\34%20-%20OUGA%2013\2%20-%20Imagens%20-%20Falhas%20ICT\17-08-2017\BR0OUGAD1081978B010FA000.jpg" TargetMode="External"/><Relationship Id="rId10" Type="http://schemas.openxmlformats.org/officeDocument/2006/relationships/hyperlink" Target="file:///\\Brpcesfil01\Test_en$\An&#225;lises%20Visuais%20-%20Pasta%20Geral\" TargetMode="External"/><Relationship Id="rId19" Type="http://schemas.openxmlformats.org/officeDocument/2006/relationships/drawing" Target="../drawings/drawing3.xml"/><Relationship Id="rId4" Type="http://schemas.openxmlformats.org/officeDocument/2006/relationships/hyperlink" Target="../An&#225;lises%20Visuais%20-%20Pasta%20Geral/BR05XGC81081964L00NSA00.bmp" TargetMode="External"/><Relationship Id="rId9" Type="http://schemas.openxmlformats.org/officeDocument/2006/relationships/hyperlink" Target="../An&#225;lises%20Visuais%20-%20Pasta%20Geral/BR0K2M3D10819664007AA00" TargetMode="External"/><Relationship Id="rId14" Type="http://schemas.openxmlformats.org/officeDocument/2006/relationships/hyperlink" Target="file:///\\Brpcesfil01\DEBUG_EN\1%20-%20Debug\4%20-%20Documentos%20Gerais\3%20-%20Banco%20de%20Arquivos%20Compartilhados\2%20-%20Imagens\BR0P1MTV1081975901I2A00.jpg"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C9"/>
  <sheetViews>
    <sheetView showGridLines="0" view="pageBreakPreview" zoomScale="60" zoomScaleNormal="40" workbookViewId="0">
      <selection activeCell="A6" sqref="A1:XFD1048576"/>
    </sheetView>
  </sheetViews>
  <sheetFormatPr defaultColWidth="9.140625" defaultRowHeight="15" x14ac:dyDescent="0.25"/>
  <cols>
    <col min="1" max="16384" width="9.140625" style="2"/>
  </cols>
  <sheetData>
    <row r="9" spans="3:3" x14ac:dyDescent="0.25">
      <c r="C9" s="2" t="s">
        <v>38</v>
      </c>
    </row>
  </sheetData>
  <sheetProtection password="C607" sheet="1" objects="1" scenarios="1" selectLockedCells="1" selectUnlockedCells="1"/>
  <pageMargins left="0.7" right="0.7" top="0.75" bottom="0.75" header="0.3" footer="0.3"/>
  <pageSetup scale="37"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fitToPage="1"/>
  </sheetPr>
  <dimension ref="A1:AE354"/>
  <sheetViews>
    <sheetView showGridLines="0" showRowColHeaders="0" showZeros="0" tabSelected="1" view="pageBreakPreview" zoomScaleSheetLayoutView="100" workbookViewId="0">
      <selection activeCell="L22" sqref="L22"/>
    </sheetView>
  </sheetViews>
  <sheetFormatPr defaultColWidth="9.140625" defaultRowHeight="15" x14ac:dyDescent="0.25"/>
  <cols>
    <col min="1" max="1" width="9.140625" style="8" customWidth="1"/>
    <col min="2" max="3" width="9.140625" style="8"/>
    <col min="4" max="4" width="11.28515625" style="8" customWidth="1"/>
    <col min="5" max="5" width="10.5703125" style="8" customWidth="1"/>
    <col min="6" max="7" width="9.140625" style="8"/>
    <col min="8" max="8" width="1.42578125" style="8" customWidth="1"/>
    <col min="9" max="10" width="9.140625" style="8"/>
    <col min="11" max="11" width="11.140625" style="8" customWidth="1"/>
    <col min="12" max="16384" width="9.140625" style="8"/>
  </cols>
  <sheetData>
    <row r="1" spans="1:31" x14ac:dyDescent="0.25">
      <c r="A1" s="65"/>
      <c r="B1" s="65"/>
      <c r="C1" s="65"/>
      <c r="D1" s="65"/>
      <c r="E1" s="65"/>
      <c r="F1" s="65"/>
      <c r="G1" s="65"/>
      <c r="H1" s="65"/>
      <c r="I1" s="7"/>
      <c r="J1" s="7"/>
      <c r="K1" s="7"/>
      <c r="L1" s="7"/>
      <c r="M1" s="7"/>
      <c r="N1" s="7"/>
      <c r="O1" s="7"/>
      <c r="P1" s="7"/>
      <c r="Q1" s="7"/>
      <c r="R1" s="7"/>
      <c r="S1" s="7"/>
      <c r="T1" s="7"/>
      <c r="U1" s="7"/>
      <c r="V1" s="7"/>
      <c r="W1" s="7"/>
      <c r="X1" s="7"/>
      <c r="Y1" s="7"/>
      <c r="Z1" s="7"/>
      <c r="AA1" s="7"/>
      <c r="AB1" s="7"/>
      <c r="AC1" s="7"/>
      <c r="AD1" s="7"/>
      <c r="AE1" s="7"/>
    </row>
    <row r="2" spans="1:31" x14ac:dyDescent="0.25">
      <c r="A2" s="65"/>
      <c r="B2" s="65"/>
      <c r="C2" s="65"/>
      <c r="D2" s="65"/>
      <c r="E2" s="65"/>
      <c r="F2" s="65"/>
      <c r="G2" s="65"/>
      <c r="H2" s="65"/>
      <c r="I2" s="7"/>
      <c r="J2" s="7"/>
      <c r="K2" s="7"/>
      <c r="L2" s="7"/>
      <c r="M2" s="7"/>
      <c r="N2" s="7"/>
      <c r="O2" s="7"/>
      <c r="P2" s="7"/>
      <c r="Q2" s="7"/>
      <c r="R2" s="7"/>
      <c r="S2" s="7"/>
      <c r="T2" s="7"/>
      <c r="U2" s="7"/>
      <c r="V2" s="7"/>
      <c r="W2" s="7"/>
      <c r="X2" s="7"/>
      <c r="Y2" s="7"/>
      <c r="Z2" s="7"/>
      <c r="AA2" s="7"/>
      <c r="AB2" s="7"/>
      <c r="AC2" s="7"/>
      <c r="AD2" s="7"/>
      <c r="AE2" s="7"/>
    </row>
    <row r="3" spans="1:31" x14ac:dyDescent="0.25">
      <c r="A3" s="65"/>
      <c r="B3" s="65"/>
      <c r="C3" s="65"/>
      <c r="D3" s="65"/>
      <c r="E3" s="65"/>
      <c r="F3" s="65"/>
      <c r="G3" s="65"/>
      <c r="H3" s="65"/>
      <c r="I3" s="7"/>
      <c r="J3" s="7"/>
      <c r="K3" s="7"/>
      <c r="L3" s="7"/>
      <c r="M3" s="7"/>
      <c r="N3" s="7"/>
      <c r="O3" s="7"/>
      <c r="P3" s="7"/>
      <c r="Q3" s="7"/>
      <c r="R3" s="7"/>
      <c r="S3" s="7"/>
      <c r="T3" s="7"/>
      <c r="U3" s="7"/>
      <c r="V3" s="7"/>
      <c r="W3" s="7"/>
      <c r="X3" s="7"/>
      <c r="Y3" s="7"/>
      <c r="Z3" s="7"/>
      <c r="AA3" s="7"/>
      <c r="AB3" s="7"/>
      <c r="AC3" s="7"/>
      <c r="AD3" s="7"/>
      <c r="AE3" s="7"/>
    </row>
    <row r="4" spans="1:31" x14ac:dyDescent="0.25">
      <c r="A4" s="65"/>
      <c r="B4" s="65"/>
      <c r="C4" s="65"/>
      <c r="D4" s="65"/>
      <c r="E4" s="65"/>
      <c r="F4" s="65"/>
      <c r="G4" s="65"/>
      <c r="H4" s="65"/>
      <c r="I4" s="7"/>
      <c r="J4" s="7"/>
      <c r="K4" s="7"/>
      <c r="L4" s="7"/>
      <c r="M4" s="7"/>
      <c r="N4" s="7"/>
      <c r="O4" s="7"/>
      <c r="P4" s="7"/>
      <c r="Q4" s="7"/>
      <c r="R4" s="7"/>
      <c r="S4" s="7"/>
      <c r="T4" s="7"/>
      <c r="U4" s="7"/>
      <c r="V4" s="7"/>
      <c r="W4" s="7"/>
      <c r="X4" s="7"/>
      <c r="Y4" s="7"/>
      <c r="Z4" s="7"/>
      <c r="AA4" s="7"/>
      <c r="AB4" s="7"/>
      <c r="AC4" s="7"/>
      <c r="AD4" s="7"/>
      <c r="AE4" s="7"/>
    </row>
    <row r="5" spans="1:31" x14ac:dyDescent="0.25">
      <c r="A5" s="65"/>
      <c r="B5" s="65"/>
      <c r="C5" s="65"/>
      <c r="D5" s="65"/>
      <c r="E5" s="65"/>
      <c r="F5" s="65"/>
      <c r="G5" s="65"/>
      <c r="H5" s="65"/>
      <c r="I5" s="7"/>
      <c r="J5" s="7"/>
      <c r="K5" s="7"/>
      <c r="L5" s="7"/>
      <c r="M5" s="7"/>
      <c r="N5" s="7"/>
      <c r="O5" s="7"/>
      <c r="P5" s="7"/>
      <c r="Q5" s="7"/>
      <c r="R5" s="7"/>
      <c r="S5" s="7"/>
      <c r="T5" s="7"/>
      <c r="U5" s="7"/>
      <c r="V5" s="7"/>
      <c r="W5" s="7"/>
      <c r="X5" s="7"/>
      <c r="Y5" s="7"/>
      <c r="Z5" s="7"/>
      <c r="AA5" s="7"/>
      <c r="AB5" s="7"/>
      <c r="AC5" s="7"/>
      <c r="AD5" s="7"/>
      <c r="AE5" s="7"/>
    </row>
    <row r="6" spans="1:31" x14ac:dyDescent="0.25">
      <c r="A6" s="65"/>
      <c r="B6" s="65"/>
      <c r="C6" s="65"/>
      <c r="D6" s="65"/>
      <c r="E6" s="65"/>
      <c r="F6" s="65"/>
      <c r="G6" s="65"/>
      <c r="H6" s="65"/>
      <c r="I6" s="7"/>
      <c r="J6" s="7"/>
      <c r="K6" s="7"/>
      <c r="L6" s="7"/>
      <c r="M6" s="7"/>
      <c r="N6" s="7"/>
      <c r="O6" s="7"/>
      <c r="P6" s="7"/>
      <c r="Q6" s="7"/>
      <c r="R6" s="7"/>
      <c r="S6" s="7"/>
      <c r="T6" s="7"/>
      <c r="U6" s="7"/>
      <c r="V6" s="7"/>
      <c r="W6" s="7"/>
      <c r="X6" s="7"/>
      <c r="Y6" s="7"/>
      <c r="Z6" s="7"/>
      <c r="AA6" s="7"/>
      <c r="AB6" s="7"/>
      <c r="AC6" s="7"/>
      <c r="AD6" s="7"/>
      <c r="AE6" s="7"/>
    </row>
    <row r="7" spans="1:31" x14ac:dyDescent="0.25">
      <c r="A7" s="65"/>
      <c r="B7" s="65"/>
      <c r="C7" s="65"/>
      <c r="D7" s="65"/>
      <c r="E7" s="65"/>
      <c r="F7" s="65"/>
      <c r="G7" s="65"/>
      <c r="H7" s="65"/>
      <c r="I7" s="7"/>
      <c r="J7" s="7"/>
      <c r="K7" s="7"/>
      <c r="L7" s="7"/>
      <c r="M7" s="7"/>
      <c r="N7" s="7"/>
      <c r="O7" s="7"/>
      <c r="P7" s="7"/>
      <c r="Q7" s="7"/>
      <c r="R7" s="7"/>
      <c r="S7" s="7"/>
      <c r="T7" s="7"/>
      <c r="U7" s="7"/>
      <c r="V7" s="7"/>
      <c r="W7" s="7"/>
      <c r="X7" s="7"/>
      <c r="Y7" s="7"/>
      <c r="Z7" s="7"/>
      <c r="AA7" s="7"/>
      <c r="AB7" s="7"/>
      <c r="AC7" s="7"/>
      <c r="AD7" s="7"/>
      <c r="AE7" s="7"/>
    </row>
    <row r="8" spans="1:31" x14ac:dyDescent="0.25">
      <c r="A8" s="65"/>
      <c r="B8" s="65"/>
      <c r="C8" s="65"/>
      <c r="D8" s="65"/>
      <c r="E8" s="65"/>
      <c r="F8" s="65"/>
      <c r="G8" s="65"/>
      <c r="H8" s="65"/>
      <c r="I8" s="7"/>
      <c r="J8" s="7"/>
      <c r="K8" s="7"/>
      <c r="L8" s="7"/>
      <c r="M8" s="7"/>
      <c r="N8" s="7"/>
      <c r="O8" s="7"/>
      <c r="P8" s="7"/>
      <c r="Q8" s="7"/>
      <c r="R8" s="7"/>
      <c r="S8" s="7"/>
      <c r="T8" s="7"/>
      <c r="U8" s="7"/>
      <c r="V8" s="7"/>
      <c r="W8" s="7"/>
      <c r="X8" s="7"/>
      <c r="Y8" s="7"/>
      <c r="Z8" s="7"/>
      <c r="AA8" s="7"/>
      <c r="AB8" s="7"/>
      <c r="AC8" s="7"/>
      <c r="AD8" s="7"/>
      <c r="AE8" s="7"/>
    </row>
    <row r="9" spans="1:31" x14ac:dyDescent="0.25">
      <c r="A9" s="65"/>
      <c r="B9" s="65"/>
      <c r="C9" s="65"/>
      <c r="D9" s="65"/>
      <c r="E9" s="65"/>
      <c r="F9" s="65"/>
      <c r="G9" s="65"/>
      <c r="H9" s="65"/>
      <c r="I9" s="7"/>
      <c r="J9" s="7"/>
      <c r="K9" s="7"/>
      <c r="L9" s="7"/>
      <c r="M9" s="7"/>
      <c r="N9" s="7"/>
      <c r="O9" s="7"/>
      <c r="P9" s="7"/>
      <c r="Q9" s="7"/>
      <c r="R9" s="7"/>
      <c r="S9" s="7"/>
      <c r="T9" s="7"/>
      <c r="U9" s="7"/>
      <c r="V9" s="7"/>
      <c r="W9" s="7"/>
      <c r="X9" s="7"/>
      <c r="Y9" s="7"/>
      <c r="Z9" s="7"/>
      <c r="AA9" s="7"/>
      <c r="AB9" s="7"/>
      <c r="AC9" s="7"/>
      <c r="AD9" s="7"/>
      <c r="AE9" s="7"/>
    </row>
    <row r="10" spans="1:31" x14ac:dyDescent="0.25">
      <c r="A10" s="65"/>
      <c r="B10" s="65"/>
      <c r="C10" s="65"/>
      <c r="D10" s="65"/>
      <c r="E10" s="65"/>
      <c r="F10" s="65"/>
      <c r="G10" s="65"/>
      <c r="H10" s="65"/>
      <c r="I10" s="7"/>
      <c r="J10" s="7"/>
      <c r="K10" s="7"/>
      <c r="L10" s="7"/>
      <c r="M10" s="7"/>
      <c r="N10" s="7"/>
      <c r="O10" s="7"/>
      <c r="P10" s="7"/>
      <c r="Q10" s="7"/>
      <c r="R10" s="7"/>
      <c r="S10" s="7"/>
      <c r="T10" s="7"/>
      <c r="U10" s="7"/>
      <c r="V10" s="7"/>
      <c r="W10" s="7"/>
      <c r="X10" s="7"/>
      <c r="Y10" s="7"/>
      <c r="Z10" s="7"/>
      <c r="AA10" s="7"/>
      <c r="AB10" s="7"/>
      <c r="AC10" s="7"/>
      <c r="AD10" s="7"/>
      <c r="AE10" s="7"/>
    </row>
    <row r="11" spans="1:31" x14ac:dyDescent="0.25">
      <c r="A11" s="65"/>
      <c r="B11" s="65"/>
      <c r="C11" s="65"/>
      <c r="D11" s="65"/>
      <c r="E11" s="65"/>
      <c r="F11" s="65"/>
      <c r="G11" s="65"/>
      <c r="H11" s="65"/>
      <c r="I11" s="7"/>
      <c r="J11" s="7"/>
      <c r="K11" s="7"/>
      <c r="L11" s="7"/>
      <c r="M11" s="7"/>
      <c r="N11" s="7"/>
      <c r="O11" s="7"/>
      <c r="P11" s="7"/>
      <c r="Q11" s="7"/>
      <c r="R11" s="7"/>
      <c r="S11" s="7"/>
      <c r="T11" s="7"/>
      <c r="U11" s="7"/>
      <c r="V11" s="7"/>
      <c r="W11" s="7"/>
      <c r="X11" s="7"/>
      <c r="Y11" s="7"/>
      <c r="Z11" s="7"/>
      <c r="AA11" s="7"/>
      <c r="AB11" s="7"/>
      <c r="AC11" s="7"/>
      <c r="AD11" s="7"/>
      <c r="AE11" s="7"/>
    </row>
    <row r="12" spans="1:31" x14ac:dyDescent="0.25">
      <c r="A12" s="65"/>
      <c r="B12" s="65"/>
      <c r="C12" s="65"/>
      <c r="D12" s="65"/>
      <c r="E12" s="65"/>
      <c r="F12" s="65"/>
      <c r="G12" s="65"/>
      <c r="H12" s="65"/>
      <c r="I12" s="7"/>
      <c r="J12" s="7"/>
      <c r="K12" s="7"/>
      <c r="L12" s="7"/>
      <c r="M12" s="7"/>
      <c r="N12" s="7"/>
      <c r="O12" s="7"/>
      <c r="P12" s="7"/>
      <c r="Q12" s="7"/>
      <c r="R12" s="7"/>
      <c r="S12" s="7"/>
      <c r="T12" s="7"/>
      <c r="U12" s="7"/>
      <c r="V12" s="7"/>
      <c r="W12" s="7"/>
      <c r="X12" s="7"/>
      <c r="Y12" s="7"/>
      <c r="Z12" s="7"/>
      <c r="AA12" s="7"/>
      <c r="AB12" s="7"/>
      <c r="AC12" s="7"/>
      <c r="AD12" s="7"/>
      <c r="AE12" s="7"/>
    </row>
    <row r="13" spans="1:31" x14ac:dyDescent="0.25">
      <c r="A13" s="65"/>
      <c r="B13" s="65"/>
      <c r="C13" s="65"/>
      <c r="D13" s="65"/>
      <c r="E13" s="65"/>
      <c r="F13" s="65"/>
      <c r="G13" s="65"/>
      <c r="H13" s="65"/>
      <c r="I13" s="7"/>
      <c r="J13" s="7"/>
      <c r="K13" s="7"/>
      <c r="L13" s="7"/>
      <c r="M13" s="7"/>
      <c r="N13" s="7"/>
      <c r="O13" s="7"/>
      <c r="P13" s="7"/>
      <c r="Q13" s="7"/>
      <c r="R13" s="7"/>
      <c r="S13" s="7"/>
      <c r="T13" s="7"/>
      <c r="U13" s="7"/>
      <c r="V13" s="7"/>
      <c r="W13" s="7"/>
      <c r="X13" s="7"/>
      <c r="Y13" s="7"/>
      <c r="Z13" s="7"/>
      <c r="AA13" s="7"/>
      <c r="AB13" s="7"/>
      <c r="AC13" s="7"/>
      <c r="AD13" s="7"/>
      <c r="AE13" s="7"/>
    </row>
    <row r="14" spans="1:31" ht="15" customHeight="1" x14ac:dyDescent="0.25">
      <c r="A14" s="65"/>
      <c r="B14" s="65"/>
      <c r="C14" s="65"/>
      <c r="D14" s="65"/>
      <c r="E14" s="65"/>
      <c r="F14" s="65"/>
      <c r="G14" s="65"/>
      <c r="H14" s="65"/>
      <c r="I14" s="7"/>
      <c r="J14" s="7"/>
      <c r="K14" s="7"/>
      <c r="L14" s="7"/>
      <c r="M14" s="7"/>
      <c r="N14" s="7"/>
      <c r="O14" s="7"/>
      <c r="P14" s="7"/>
      <c r="Q14" s="7"/>
      <c r="R14" s="7"/>
      <c r="S14" s="7"/>
      <c r="T14" s="7"/>
      <c r="U14" s="7"/>
      <c r="V14" s="7"/>
      <c r="W14" s="7"/>
      <c r="X14" s="7"/>
      <c r="Y14" s="7"/>
      <c r="Z14" s="7"/>
      <c r="AA14" s="7"/>
      <c r="AB14" s="7"/>
      <c r="AC14" s="7"/>
      <c r="AD14" s="7"/>
      <c r="AE14" s="7"/>
    </row>
    <row r="15" spans="1:31" x14ac:dyDescent="0.25">
      <c r="A15" s="65"/>
      <c r="B15" s="65"/>
      <c r="C15" s="65"/>
      <c r="D15" s="65"/>
      <c r="E15" s="65"/>
      <c r="F15" s="65"/>
      <c r="G15" s="65"/>
      <c r="H15" s="65"/>
      <c r="I15" s="7"/>
      <c r="J15" s="7"/>
      <c r="K15" s="7"/>
      <c r="L15" s="7"/>
      <c r="M15" s="7"/>
      <c r="N15" s="7"/>
      <c r="O15" s="7"/>
      <c r="P15" s="7"/>
      <c r="Q15" s="7"/>
      <c r="R15" s="7"/>
      <c r="S15" s="7"/>
      <c r="T15" s="7"/>
      <c r="U15" s="7"/>
      <c r="V15" s="7"/>
      <c r="W15" s="7"/>
      <c r="X15" s="7"/>
      <c r="Y15" s="7"/>
      <c r="Z15" s="7"/>
      <c r="AA15" s="7"/>
      <c r="AB15" s="7"/>
      <c r="AC15" s="7"/>
      <c r="AD15" s="7"/>
      <c r="AE15" s="7"/>
    </row>
    <row r="16" spans="1:31" x14ac:dyDescent="0.25">
      <c r="A16" s="65"/>
      <c r="B16" s="65"/>
      <c r="C16" s="65"/>
      <c r="D16" s="65"/>
      <c r="E16" s="65"/>
      <c r="F16" s="65"/>
      <c r="G16" s="65"/>
      <c r="H16" s="65"/>
      <c r="I16" s="7"/>
      <c r="J16" s="7"/>
      <c r="K16" s="7"/>
      <c r="L16" s="7"/>
      <c r="M16" s="7"/>
      <c r="N16" s="7"/>
      <c r="O16" s="7"/>
      <c r="P16" s="7"/>
      <c r="Q16" s="7"/>
      <c r="R16" s="7"/>
      <c r="S16" s="7"/>
      <c r="T16" s="7"/>
      <c r="U16" s="7"/>
      <c r="V16" s="7"/>
      <c r="W16" s="7"/>
      <c r="X16" s="7"/>
      <c r="Y16" s="7"/>
      <c r="Z16" s="7"/>
      <c r="AA16" s="7"/>
      <c r="AB16" s="7"/>
      <c r="AC16" s="7"/>
      <c r="AD16" s="7"/>
      <c r="AE16" s="7"/>
    </row>
    <row r="17" spans="1:31" x14ac:dyDescent="0.25">
      <c r="A17" s="65"/>
      <c r="B17" s="65"/>
      <c r="C17" s="65"/>
      <c r="D17" s="65"/>
      <c r="E17" s="65"/>
      <c r="F17" s="65"/>
      <c r="G17" s="65"/>
      <c r="H17" s="65"/>
      <c r="I17" s="7"/>
      <c r="J17" s="7"/>
      <c r="K17" s="7"/>
      <c r="L17" s="7"/>
      <c r="M17" s="7"/>
      <c r="N17" s="7"/>
      <c r="O17" s="7"/>
      <c r="P17" s="7"/>
      <c r="Q17" s="7"/>
      <c r="R17" s="7"/>
      <c r="S17" s="7"/>
      <c r="T17" s="7"/>
      <c r="U17" s="7"/>
      <c r="V17" s="7"/>
      <c r="W17" s="7"/>
      <c r="X17" s="7"/>
      <c r="Y17" s="7"/>
      <c r="Z17" s="7"/>
      <c r="AA17" s="7"/>
      <c r="AB17" s="7"/>
      <c r="AC17" s="7"/>
      <c r="AD17" s="7"/>
      <c r="AE17" s="7"/>
    </row>
    <row r="18" spans="1:31" x14ac:dyDescent="0.25">
      <c r="A18" s="65"/>
      <c r="B18" s="65"/>
      <c r="C18" s="65"/>
      <c r="D18" s="65"/>
      <c r="E18" s="65"/>
      <c r="F18" s="65"/>
      <c r="G18" s="65"/>
      <c r="H18" s="65"/>
      <c r="I18" s="7"/>
      <c r="J18" s="64"/>
      <c r="K18" s="64"/>
      <c r="L18" s="64"/>
      <c r="M18" s="64"/>
      <c r="N18" s="64"/>
      <c r="O18" s="64"/>
      <c r="P18" s="7"/>
      <c r="Q18" s="7"/>
      <c r="R18" s="7"/>
      <c r="S18" s="7"/>
      <c r="T18" s="7"/>
      <c r="U18" s="7"/>
      <c r="V18" s="7"/>
      <c r="W18" s="7"/>
      <c r="X18" s="7"/>
      <c r="Y18" s="7"/>
      <c r="Z18" s="7"/>
      <c r="AA18" s="7"/>
      <c r="AB18" s="7"/>
      <c r="AC18" s="7"/>
      <c r="AD18" s="7"/>
      <c r="AE18" s="7"/>
    </row>
    <row r="19" spans="1:31" x14ac:dyDescent="0.25">
      <c r="A19" s="65"/>
      <c r="B19" s="65"/>
      <c r="C19" s="65"/>
      <c r="D19" s="65"/>
      <c r="E19" s="65"/>
      <c r="F19" s="65"/>
      <c r="G19" s="65"/>
      <c r="H19" s="65"/>
      <c r="I19" s="7"/>
      <c r="J19" s="64"/>
      <c r="K19" s="64"/>
      <c r="L19" s="64"/>
      <c r="M19" s="64"/>
      <c r="N19" s="64"/>
      <c r="O19" s="64"/>
      <c r="P19" s="7"/>
      <c r="Q19" s="7"/>
      <c r="R19" s="7"/>
      <c r="S19" s="7"/>
      <c r="T19" s="7"/>
      <c r="U19" s="7"/>
      <c r="V19" s="7"/>
      <c r="W19" s="7"/>
      <c r="X19" s="7"/>
      <c r="Y19" s="7"/>
      <c r="Z19" s="7"/>
      <c r="AA19" s="7"/>
      <c r="AB19" s="7"/>
      <c r="AC19" s="7"/>
      <c r="AD19" s="7"/>
      <c r="AE19" s="7"/>
    </row>
    <row r="20" spans="1:31" x14ac:dyDescent="0.25">
      <c r="A20" s="65"/>
      <c r="B20" s="65"/>
      <c r="C20" s="65"/>
      <c r="D20" s="65"/>
      <c r="E20" s="65"/>
      <c r="F20" s="65"/>
      <c r="G20" s="65"/>
      <c r="H20" s="65"/>
      <c r="I20" s="7"/>
      <c r="J20" s="64"/>
      <c r="K20" s="64"/>
      <c r="L20" s="64"/>
      <c r="M20" s="64"/>
      <c r="N20" s="64"/>
      <c r="O20" s="64"/>
      <c r="P20" s="7"/>
      <c r="Q20" s="7"/>
      <c r="R20" s="7"/>
      <c r="S20" s="7"/>
      <c r="T20" s="7"/>
      <c r="U20" s="7"/>
      <c r="V20" s="7"/>
      <c r="W20" s="7"/>
      <c r="X20" s="7"/>
      <c r="Y20" s="7"/>
      <c r="Z20" s="7"/>
      <c r="AA20" s="7"/>
      <c r="AB20" s="7"/>
      <c r="AC20" s="7"/>
      <c r="AD20" s="7"/>
      <c r="AE20" s="7"/>
    </row>
    <row r="21" spans="1:31" x14ac:dyDescent="0.25">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row>
    <row r="22" spans="1:31" x14ac:dyDescent="0.25">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row>
    <row r="23" spans="1:31" x14ac:dyDescent="0.25">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row>
    <row r="24" spans="1:31" x14ac:dyDescent="0.2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row>
    <row r="25" spans="1:31" ht="15" customHeight="1" x14ac:dyDescent="0.2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row>
    <row r="26" spans="1:31" x14ac:dyDescent="0.2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row>
    <row r="27" spans="1:31" x14ac:dyDescent="0.2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row>
    <row r="28" spans="1:31" ht="15" customHeight="1" x14ac:dyDescent="0.2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row>
    <row r="29" spans="1:31" x14ac:dyDescent="0.2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row>
    <row r="30" spans="1:31" x14ac:dyDescent="0.2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row>
    <row r="31" spans="1:31" x14ac:dyDescent="0.2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row>
    <row r="32" spans="1:31" x14ac:dyDescent="0.2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row>
    <row r="33" spans="1:31" x14ac:dyDescent="0.2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row>
    <row r="34" spans="1:31" x14ac:dyDescent="0.2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row>
    <row r="35" spans="1:31" x14ac:dyDescent="0.2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row>
    <row r="36" spans="1:31" x14ac:dyDescent="0.2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row>
    <row r="37" spans="1:31" x14ac:dyDescent="0.2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row>
    <row r="38" spans="1:31" x14ac:dyDescent="0.2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row>
    <row r="39" spans="1:31" x14ac:dyDescent="0.2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row>
    <row r="40" spans="1:31" x14ac:dyDescent="0.2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row>
    <row r="41" spans="1:31" x14ac:dyDescent="0.2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row>
    <row r="42" spans="1:31"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row>
    <row r="43" spans="1:31" x14ac:dyDescent="0.2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row>
    <row r="44" spans="1:31" x14ac:dyDescent="0.2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row>
    <row r="45" spans="1:31" x14ac:dyDescent="0.2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row>
    <row r="46" spans="1:31" x14ac:dyDescent="0.2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row>
    <row r="47" spans="1:31" x14ac:dyDescent="0.2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row>
    <row r="48" spans="1:31" x14ac:dyDescent="0.2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row>
    <row r="49" spans="1:31" x14ac:dyDescent="0.2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row>
    <row r="50" spans="1:31" x14ac:dyDescent="0.2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row>
    <row r="51" spans="1:31" x14ac:dyDescent="0.2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row>
    <row r="52" spans="1:31" x14ac:dyDescent="0.2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x14ac:dyDescent="0.2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row>
    <row r="54" spans="1:31" x14ac:dyDescent="0.2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row>
    <row r="55" spans="1:31" x14ac:dyDescent="0.2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row>
    <row r="56" spans="1:31" x14ac:dyDescent="0.2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row>
    <row r="57" spans="1:31" x14ac:dyDescent="0.2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row>
    <row r="58" spans="1:31" x14ac:dyDescent="0.2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row>
    <row r="59" spans="1:31" x14ac:dyDescent="0.2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row>
    <row r="60" spans="1:31" x14ac:dyDescent="0.2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row>
    <row r="61" spans="1:31" x14ac:dyDescent="0.2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row>
    <row r="62" spans="1:31" x14ac:dyDescent="0.2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row>
    <row r="63" spans="1:31" x14ac:dyDescent="0.2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row>
    <row r="64" spans="1:31" x14ac:dyDescent="0.2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row>
    <row r="65" spans="1:31" x14ac:dyDescent="0.2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row>
    <row r="66" spans="1:31" x14ac:dyDescent="0.2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row>
    <row r="67" spans="1:31" x14ac:dyDescent="0.2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row>
    <row r="68" spans="1:31" x14ac:dyDescent="0.2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row>
    <row r="69" spans="1:31" x14ac:dyDescent="0.2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row>
    <row r="70" spans="1:31" x14ac:dyDescent="0.2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row>
    <row r="71" spans="1:31" x14ac:dyDescent="0.2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row>
    <row r="72" spans="1:31" x14ac:dyDescent="0.2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row>
    <row r="73" spans="1:31" x14ac:dyDescent="0.2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row>
    <row r="74" spans="1:31" x14ac:dyDescent="0.2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row>
    <row r="75" spans="1:31" x14ac:dyDescent="0.2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row>
    <row r="76" spans="1:31" x14ac:dyDescent="0.2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row>
    <row r="77" spans="1:31" x14ac:dyDescent="0.2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row>
    <row r="78" spans="1:31" x14ac:dyDescent="0.2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row>
    <row r="79" spans="1:31" x14ac:dyDescent="0.2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row>
    <row r="80" spans="1:31" x14ac:dyDescent="0.2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row>
    <row r="81" spans="1:31" x14ac:dyDescent="0.2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row>
    <row r="82" spans="1:31" x14ac:dyDescent="0.2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row>
    <row r="83" spans="1:31" x14ac:dyDescent="0.2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row>
    <row r="84" spans="1:31" x14ac:dyDescent="0.2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row>
    <row r="85" spans="1:31" x14ac:dyDescent="0.2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row>
    <row r="86" spans="1:31" x14ac:dyDescent="0.2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row>
    <row r="87" spans="1:31" x14ac:dyDescent="0.2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row>
    <row r="88" spans="1:31" x14ac:dyDescent="0.2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row>
    <row r="89" spans="1:31" x14ac:dyDescent="0.2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row>
    <row r="90" spans="1:31" x14ac:dyDescent="0.2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row>
    <row r="91" spans="1:31" x14ac:dyDescent="0.25">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row>
    <row r="92" spans="1:31" x14ac:dyDescent="0.2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row>
    <row r="93" spans="1:31" x14ac:dyDescent="0.2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row>
    <row r="94" spans="1:31" x14ac:dyDescent="0.2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row>
    <row r="95" spans="1:31" x14ac:dyDescent="0.2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row>
    <row r="96" spans="1:31" x14ac:dyDescent="0.2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row>
    <row r="97" spans="1:31" x14ac:dyDescent="0.2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row>
    <row r="98" spans="1:31" x14ac:dyDescent="0.2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row>
    <row r="99" spans="1:31" x14ac:dyDescent="0.2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row>
    <row r="100" spans="1:31" x14ac:dyDescent="0.2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row>
    <row r="101" spans="1:31" x14ac:dyDescent="0.2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row>
    <row r="102" spans="1:31" x14ac:dyDescent="0.2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row>
    <row r="103" spans="1:31" x14ac:dyDescent="0.2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row>
    <row r="104" spans="1:31" x14ac:dyDescent="0.2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row>
    <row r="105" spans="1:31" x14ac:dyDescent="0.2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row>
    <row r="106" spans="1:31" x14ac:dyDescent="0.2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row>
    <row r="107" spans="1:31" x14ac:dyDescent="0.2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row>
    <row r="108" spans="1:31" x14ac:dyDescent="0.2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row>
    <row r="109" spans="1:31" x14ac:dyDescent="0.2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row>
    <row r="110" spans="1:31" x14ac:dyDescent="0.2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row>
    <row r="111" spans="1:31" x14ac:dyDescent="0.2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row>
    <row r="112" spans="1:31" x14ac:dyDescent="0.2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row>
    <row r="113" spans="1:31" x14ac:dyDescent="0.2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row>
    <row r="114" spans="1:31" x14ac:dyDescent="0.2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row>
    <row r="115" spans="1:31" x14ac:dyDescent="0.2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row>
    <row r="116" spans="1:31" x14ac:dyDescent="0.2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row>
    <row r="117" spans="1:31" x14ac:dyDescent="0.2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row>
    <row r="118" spans="1:31" x14ac:dyDescent="0.2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row>
    <row r="119" spans="1:31" x14ac:dyDescent="0.2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row>
    <row r="120" spans="1:31" x14ac:dyDescent="0.2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row>
    <row r="121" spans="1:31" x14ac:dyDescent="0.2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row>
    <row r="122" spans="1:31" x14ac:dyDescent="0.2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row>
    <row r="123" spans="1:31" x14ac:dyDescent="0.2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row>
    <row r="124" spans="1:31" x14ac:dyDescent="0.2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row>
    <row r="125" spans="1:31" x14ac:dyDescent="0.2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row>
    <row r="126" spans="1:31" x14ac:dyDescent="0.2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row>
    <row r="127" spans="1:31" x14ac:dyDescent="0.2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row>
    <row r="128" spans="1:31" x14ac:dyDescent="0.2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row>
    <row r="129" spans="1:31" x14ac:dyDescent="0.2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row>
    <row r="130" spans="1:31" x14ac:dyDescent="0.2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row>
    <row r="131" spans="1:31" x14ac:dyDescent="0.2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row>
    <row r="132" spans="1:31" x14ac:dyDescent="0.2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row>
    <row r="133" spans="1:31" x14ac:dyDescent="0.2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row>
    <row r="134" spans="1:31" x14ac:dyDescent="0.2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row>
    <row r="135" spans="1:31" x14ac:dyDescent="0.2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row>
    <row r="136" spans="1:31" x14ac:dyDescent="0.25">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row>
    <row r="137" spans="1:31" x14ac:dyDescent="0.25">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row>
    <row r="138" spans="1:31" x14ac:dyDescent="0.25">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row>
    <row r="139" spans="1:31" x14ac:dyDescent="0.25">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row>
    <row r="140" spans="1:31" x14ac:dyDescent="0.25">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row>
    <row r="141" spans="1:31" x14ac:dyDescent="0.25">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row>
    <row r="142" spans="1:31" x14ac:dyDescent="0.25">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row>
    <row r="143" spans="1:31" x14ac:dyDescent="0.25">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row>
    <row r="144" spans="1:31" x14ac:dyDescent="0.25">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row>
    <row r="145" spans="1:31" x14ac:dyDescent="0.25">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row>
    <row r="146" spans="1:31" x14ac:dyDescent="0.25">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row>
    <row r="147" spans="1:31" x14ac:dyDescent="0.25">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row>
    <row r="148" spans="1:31" x14ac:dyDescent="0.25">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row>
    <row r="149" spans="1:31" x14ac:dyDescent="0.25">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row>
    <row r="150" spans="1:31" x14ac:dyDescent="0.25">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row>
    <row r="151" spans="1:31" x14ac:dyDescent="0.25">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row>
    <row r="152" spans="1:31" x14ac:dyDescent="0.25">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row>
    <row r="153" spans="1:31" x14ac:dyDescent="0.25">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row>
    <row r="154" spans="1:31" x14ac:dyDescent="0.25">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row>
    <row r="155" spans="1:31" x14ac:dyDescent="0.25">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row>
    <row r="156" spans="1:31" x14ac:dyDescent="0.25">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row>
    <row r="157" spans="1:31" x14ac:dyDescent="0.25">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row>
    <row r="158" spans="1:31" x14ac:dyDescent="0.25">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row>
    <row r="159" spans="1:31" x14ac:dyDescent="0.25">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row>
    <row r="160" spans="1:31" x14ac:dyDescent="0.25">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row>
    <row r="161" spans="1:31" x14ac:dyDescent="0.25">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row>
    <row r="162" spans="1:31" x14ac:dyDescent="0.25">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row>
    <row r="163" spans="1:31" x14ac:dyDescent="0.2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row>
    <row r="164" spans="1:31" x14ac:dyDescent="0.25">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row>
    <row r="165" spans="1:31" x14ac:dyDescent="0.25">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row>
    <row r="166" spans="1:31" x14ac:dyDescent="0.25">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row>
    <row r="167" spans="1:31" x14ac:dyDescent="0.25">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row>
    <row r="168" spans="1:31" x14ac:dyDescent="0.25">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row>
    <row r="169" spans="1:31" x14ac:dyDescent="0.25">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row>
    <row r="170" spans="1:31" x14ac:dyDescent="0.25">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row>
    <row r="171" spans="1:31" x14ac:dyDescent="0.25">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row>
    <row r="172" spans="1:31" x14ac:dyDescent="0.25">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row>
    <row r="173" spans="1:31" x14ac:dyDescent="0.25">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row>
    <row r="174" spans="1:31" x14ac:dyDescent="0.25">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row>
    <row r="175" spans="1:31" x14ac:dyDescent="0.25">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row>
    <row r="176" spans="1:31" x14ac:dyDescent="0.25">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row>
    <row r="177" spans="1:31" x14ac:dyDescent="0.25">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row>
    <row r="178" spans="1:31" x14ac:dyDescent="0.25">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row>
    <row r="179" spans="1:31" x14ac:dyDescent="0.25">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row>
    <row r="180" spans="1:31" x14ac:dyDescent="0.25">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row>
    <row r="181" spans="1:31" x14ac:dyDescent="0.25">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row>
    <row r="182" spans="1:31" x14ac:dyDescent="0.25">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row>
    <row r="183" spans="1:31" x14ac:dyDescent="0.25">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row>
    <row r="184" spans="1:31" x14ac:dyDescent="0.25">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row>
    <row r="185" spans="1:31" x14ac:dyDescent="0.25">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row>
    <row r="186" spans="1:31" x14ac:dyDescent="0.25">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row>
    <row r="187" spans="1:31" x14ac:dyDescent="0.25">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row>
    <row r="188" spans="1:31" x14ac:dyDescent="0.2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row>
    <row r="189" spans="1:31" x14ac:dyDescent="0.25">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row>
    <row r="190" spans="1:31" x14ac:dyDescent="0.25">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row>
    <row r="191" spans="1:31" x14ac:dyDescent="0.25">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row>
    <row r="192" spans="1:31" x14ac:dyDescent="0.25">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row>
    <row r="193" spans="1:31" x14ac:dyDescent="0.25">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row>
    <row r="194" spans="1:31" x14ac:dyDescent="0.25">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row>
    <row r="195" spans="1:31" x14ac:dyDescent="0.25">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row>
    <row r="196" spans="1:31" x14ac:dyDescent="0.25">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row>
    <row r="197" spans="1:31" x14ac:dyDescent="0.25">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row>
    <row r="198" spans="1:31" x14ac:dyDescent="0.25">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row>
    <row r="199" spans="1:31" x14ac:dyDescent="0.25">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row>
    <row r="200" spans="1:31" x14ac:dyDescent="0.25">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row>
    <row r="201" spans="1:31" x14ac:dyDescent="0.25">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row>
    <row r="202" spans="1:31" x14ac:dyDescent="0.25">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row>
    <row r="203" spans="1:31" x14ac:dyDescent="0.2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row>
    <row r="204" spans="1:31" x14ac:dyDescent="0.2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row>
    <row r="205" spans="1:31" x14ac:dyDescent="0.2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row>
    <row r="206" spans="1:31" x14ac:dyDescent="0.2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row>
    <row r="207" spans="1:31" x14ac:dyDescent="0.2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row>
    <row r="208" spans="1:31" x14ac:dyDescent="0.2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row>
    <row r="209" spans="1:31" x14ac:dyDescent="0.2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row>
    <row r="210" spans="1:31" x14ac:dyDescent="0.2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row>
    <row r="211" spans="1:31" x14ac:dyDescent="0.2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row>
    <row r="212" spans="1:31" x14ac:dyDescent="0.2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row>
    <row r="213" spans="1:31" x14ac:dyDescent="0.2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row>
    <row r="214" spans="1:31" x14ac:dyDescent="0.2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row>
    <row r="215" spans="1:31" x14ac:dyDescent="0.2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row>
    <row r="216" spans="1:31" x14ac:dyDescent="0.2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row>
    <row r="217" spans="1:31" x14ac:dyDescent="0.2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row>
    <row r="218" spans="1:31" x14ac:dyDescent="0.2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row>
    <row r="219" spans="1:31" x14ac:dyDescent="0.2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row>
    <row r="220" spans="1:31" x14ac:dyDescent="0.2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row>
    <row r="221" spans="1:31" x14ac:dyDescent="0.2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row>
    <row r="222" spans="1:31" x14ac:dyDescent="0.2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row>
    <row r="223" spans="1:31" x14ac:dyDescent="0.2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row>
    <row r="224" spans="1:31" x14ac:dyDescent="0.2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row>
    <row r="225" spans="1:31" x14ac:dyDescent="0.2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row>
    <row r="226" spans="1:31" x14ac:dyDescent="0.2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row>
    <row r="227" spans="1:31" x14ac:dyDescent="0.2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row>
    <row r="228" spans="1:31" x14ac:dyDescent="0.2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row>
    <row r="229" spans="1:31" x14ac:dyDescent="0.2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row>
    <row r="230" spans="1:31" x14ac:dyDescent="0.2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c r="AC230" s="7"/>
      <c r="AD230" s="7"/>
      <c r="AE230" s="7"/>
    </row>
    <row r="231" spans="1:31" x14ac:dyDescent="0.2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c r="AC231" s="7"/>
      <c r="AD231" s="7"/>
      <c r="AE231" s="7"/>
    </row>
    <row r="232" spans="1:31" x14ac:dyDescent="0.2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c r="AC232" s="7"/>
      <c r="AD232" s="7"/>
      <c r="AE232" s="7"/>
    </row>
    <row r="233" spans="1:31" x14ac:dyDescent="0.2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c r="AC233" s="7"/>
      <c r="AD233" s="7"/>
      <c r="AE233" s="7"/>
    </row>
    <row r="234" spans="1:31" x14ac:dyDescent="0.2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c r="AC234" s="7"/>
      <c r="AD234" s="7"/>
      <c r="AE234" s="7"/>
    </row>
    <row r="235" spans="1:31" x14ac:dyDescent="0.2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c r="AC235" s="7"/>
      <c r="AD235" s="7"/>
      <c r="AE235" s="7"/>
    </row>
    <row r="236" spans="1:31" x14ac:dyDescent="0.2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c r="AC236" s="7"/>
      <c r="AD236" s="7"/>
      <c r="AE236" s="7"/>
    </row>
    <row r="237" spans="1:31" x14ac:dyDescent="0.2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c r="AC237" s="7"/>
      <c r="AD237" s="7"/>
      <c r="AE237" s="7"/>
    </row>
    <row r="238" spans="1:31" x14ac:dyDescent="0.2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c r="AC238" s="7"/>
      <c r="AD238" s="7"/>
      <c r="AE238" s="7"/>
    </row>
    <row r="239" spans="1:31" x14ac:dyDescent="0.2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c r="AC239" s="7"/>
      <c r="AD239" s="7"/>
      <c r="AE239" s="7"/>
    </row>
    <row r="240" spans="1:31" x14ac:dyDescent="0.2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c r="AC240" s="7"/>
      <c r="AD240" s="7"/>
      <c r="AE240" s="7"/>
    </row>
    <row r="241" spans="1:31" x14ac:dyDescent="0.2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c r="AC241" s="7"/>
      <c r="AD241" s="7"/>
      <c r="AE241" s="7"/>
    </row>
    <row r="242" spans="1:31" x14ac:dyDescent="0.2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c r="AC242" s="7"/>
      <c r="AD242" s="7"/>
      <c r="AE242" s="7"/>
    </row>
    <row r="243" spans="1:31" x14ac:dyDescent="0.2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c r="AC243" s="7"/>
      <c r="AD243" s="7"/>
      <c r="AE243" s="7"/>
    </row>
    <row r="244" spans="1:31" x14ac:dyDescent="0.2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c r="AC244" s="7"/>
      <c r="AD244" s="7"/>
      <c r="AE244" s="7"/>
    </row>
    <row r="245" spans="1:31" x14ac:dyDescent="0.2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C245" s="7"/>
      <c r="AD245" s="7"/>
      <c r="AE245" s="7"/>
    </row>
    <row r="246" spans="1:31" x14ac:dyDescent="0.2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c r="AC246" s="7"/>
      <c r="AD246" s="7"/>
      <c r="AE246" s="7"/>
    </row>
    <row r="247" spans="1:31" x14ac:dyDescent="0.2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row>
    <row r="248" spans="1:31" x14ac:dyDescent="0.2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c r="AC248" s="7"/>
      <c r="AD248" s="7"/>
      <c r="AE248" s="7"/>
    </row>
    <row r="249" spans="1:31" x14ac:dyDescent="0.2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c r="AC249" s="7"/>
      <c r="AD249" s="7"/>
      <c r="AE249" s="7"/>
    </row>
    <row r="250" spans="1:31" x14ac:dyDescent="0.2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c r="AC250" s="7"/>
      <c r="AD250" s="7"/>
      <c r="AE250" s="7"/>
    </row>
    <row r="251" spans="1:31" x14ac:dyDescent="0.2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c r="AC251" s="7"/>
      <c r="AD251" s="7"/>
      <c r="AE251" s="7"/>
    </row>
    <row r="252" spans="1:31" x14ac:dyDescent="0.2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c r="AC252" s="7"/>
      <c r="AD252" s="7"/>
      <c r="AE252" s="7"/>
    </row>
    <row r="253" spans="1:31" x14ac:dyDescent="0.2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c r="AC253" s="7"/>
      <c r="AD253" s="7"/>
      <c r="AE253" s="7"/>
    </row>
    <row r="254" spans="1:31" x14ac:dyDescent="0.2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c r="AC254" s="7"/>
      <c r="AD254" s="7"/>
      <c r="AE254" s="7"/>
    </row>
    <row r="255" spans="1:31" x14ac:dyDescent="0.2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c r="AC255" s="7"/>
      <c r="AD255" s="7"/>
      <c r="AE255" s="7"/>
    </row>
    <row r="256" spans="1:31" x14ac:dyDescent="0.2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c r="AC256" s="7"/>
      <c r="AD256" s="7"/>
      <c r="AE256" s="7"/>
    </row>
    <row r="257" spans="1:31" x14ac:dyDescent="0.2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c r="AC257" s="7"/>
      <c r="AD257" s="7"/>
      <c r="AE257" s="7"/>
    </row>
    <row r="258" spans="1:31" x14ac:dyDescent="0.2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c r="AC258" s="7"/>
      <c r="AD258" s="7"/>
      <c r="AE258" s="7"/>
    </row>
    <row r="259" spans="1:31" x14ac:dyDescent="0.2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row>
    <row r="260" spans="1:31" x14ac:dyDescent="0.2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c r="AC260" s="7"/>
      <c r="AD260" s="7"/>
      <c r="AE260" s="7"/>
    </row>
    <row r="261" spans="1:31" x14ac:dyDescent="0.2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c r="AC261" s="7"/>
      <c r="AD261" s="7"/>
      <c r="AE261" s="7"/>
    </row>
    <row r="262" spans="1:31" x14ac:dyDescent="0.2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c r="AC262" s="7"/>
      <c r="AD262" s="7"/>
      <c r="AE262" s="7"/>
    </row>
    <row r="263" spans="1:31" x14ac:dyDescent="0.2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c r="AC263" s="7"/>
      <c r="AD263" s="7"/>
      <c r="AE263" s="7"/>
    </row>
    <row r="264" spans="1:31" x14ac:dyDescent="0.2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c r="AC264" s="7"/>
      <c r="AD264" s="7"/>
      <c r="AE264" s="7"/>
    </row>
    <row r="265" spans="1:31" x14ac:dyDescent="0.2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c r="AC265" s="7"/>
      <c r="AD265" s="7"/>
      <c r="AE265" s="7"/>
    </row>
    <row r="266" spans="1:31" x14ac:dyDescent="0.2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c r="AC266" s="7"/>
      <c r="AD266" s="7"/>
      <c r="AE266" s="7"/>
    </row>
    <row r="267" spans="1:31" x14ac:dyDescent="0.2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c r="AC267" s="7"/>
      <c r="AD267" s="7"/>
      <c r="AE267" s="7"/>
    </row>
    <row r="268" spans="1:31" x14ac:dyDescent="0.2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c r="AC268" s="7"/>
      <c r="AD268" s="7"/>
      <c r="AE268" s="7"/>
    </row>
    <row r="269" spans="1:31" x14ac:dyDescent="0.2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c r="AC269" s="7"/>
      <c r="AD269" s="7"/>
      <c r="AE269" s="7"/>
    </row>
    <row r="270" spans="1:31" x14ac:dyDescent="0.2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c r="AC270" s="7"/>
      <c r="AD270" s="7"/>
      <c r="AE270" s="7"/>
    </row>
    <row r="271" spans="1:31" x14ac:dyDescent="0.2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c r="AC271" s="7"/>
      <c r="AD271" s="7"/>
      <c r="AE271" s="7"/>
    </row>
    <row r="272" spans="1:31" x14ac:dyDescent="0.2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c r="AC272" s="7"/>
      <c r="AD272" s="7"/>
      <c r="AE272" s="7"/>
    </row>
    <row r="273" spans="1:31" x14ac:dyDescent="0.2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c r="AC273" s="7"/>
      <c r="AD273" s="7"/>
      <c r="AE273" s="7"/>
    </row>
    <row r="274" spans="1:31" x14ac:dyDescent="0.2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c r="AC274" s="7"/>
      <c r="AD274" s="7"/>
      <c r="AE274" s="7"/>
    </row>
    <row r="275" spans="1:31" x14ac:dyDescent="0.2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c r="AC275" s="7"/>
      <c r="AD275" s="7"/>
      <c r="AE275" s="7"/>
    </row>
    <row r="276" spans="1:31" x14ac:dyDescent="0.2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c r="AC276" s="7"/>
      <c r="AD276" s="7"/>
      <c r="AE276" s="7"/>
    </row>
    <row r="277" spans="1:31" x14ac:dyDescent="0.2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c r="AC277" s="7"/>
      <c r="AD277" s="7"/>
      <c r="AE277" s="7"/>
    </row>
    <row r="278" spans="1:31" x14ac:dyDescent="0.2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c r="AC278" s="7"/>
      <c r="AD278" s="7"/>
      <c r="AE278" s="7"/>
    </row>
    <row r="279" spans="1:31" x14ac:dyDescent="0.2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c r="AC279" s="7"/>
      <c r="AD279" s="7"/>
      <c r="AE279" s="7"/>
    </row>
    <row r="280" spans="1:31" x14ac:dyDescent="0.2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c r="AC280" s="7"/>
      <c r="AD280" s="7"/>
      <c r="AE280" s="7"/>
    </row>
    <row r="281" spans="1:31" x14ac:dyDescent="0.2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c r="AA281" s="7"/>
      <c r="AB281" s="7"/>
      <c r="AC281" s="7"/>
      <c r="AD281" s="7"/>
      <c r="AE281" s="7"/>
    </row>
    <row r="282" spans="1:31" x14ac:dyDescent="0.2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c r="AA282" s="7"/>
      <c r="AB282" s="7"/>
      <c r="AC282" s="7"/>
      <c r="AD282" s="7"/>
      <c r="AE282" s="7"/>
    </row>
    <row r="283" spans="1:31" x14ac:dyDescent="0.2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c r="AA283" s="7"/>
      <c r="AB283" s="7"/>
      <c r="AC283" s="7"/>
      <c r="AD283" s="7"/>
      <c r="AE283" s="7"/>
    </row>
    <row r="284" spans="1:31" x14ac:dyDescent="0.2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c r="AA284" s="7"/>
      <c r="AB284" s="7"/>
      <c r="AC284" s="7"/>
      <c r="AD284" s="7"/>
      <c r="AE284" s="7"/>
    </row>
    <row r="285" spans="1:31" x14ac:dyDescent="0.2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c r="AA285" s="7"/>
      <c r="AB285" s="7"/>
      <c r="AC285" s="7"/>
      <c r="AD285" s="7"/>
      <c r="AE285" s="7"/>
    </row>
    <row r="286" spans="1:31" x14ac:dyDescent="0.2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c r="AA286" s="7"/>
      <c r="AB286" s="7"/>
      <c r="AC286" s="7"/>
      <c r="AD286" s="7"/>
      <c r="AE286" s="7"/>
    </row>
    <row r="287" spans="1:31" x14ac:dyDescent="0.2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c r="AA287" s="7"/>
      <c r="AB287" s="7"/>
      <c r="AC287" s="7"/>
      <c r="AD287" s="7"/>
      <c r="AE287" s="7"/>
    </row>
    <row r="288" spans="1:31" x14ac:dyDescent="0.2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c r="AA288" s="7"/>
      <c r="AB288" s="7"/>
      <c r="AC288" s="7"/>
      <c r="AD288" s="7"/>
      <c r="AE288" s="7"/>
    </row>
    <row r="289" spans="1:31" x14ac:dyDescent="0.2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c r="AA289" s="7"/>
      <c r="AB289" s="7"/>
      <c r="AC289" s="7"/>
      <c r="AD289" s="7"/>
      <c r="AE289" s="7"/>
    </row>
    <row r="290" spans="1:31" x14ac:dyDescent="0.2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c r="AA290" s="7"/>
      <c r="AB290" s="7"/>
      <c r="AC290" s="7"/>
      <c r="AD290" s="7"/>
      <c r="AE290" s="7"/>
    </row>
    <row r="291" spans="1:31" x14ac:dyDescent="0.2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c r="AA291" s="7"/>
      <c r="AB291" s="7"/>
      <c r="AC291" s="7"/>
      <c r="AD291" s="7"/>
      <c r="AE291" s="7"/>
    </row>
    <row r="292" spans="1:31" x14ac:dyDescent="0.2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c r="AA292" s="7"/>
      <c r="AB292" s="7"/>
      <c r="AC292" s="7"/>
      <c r="AD292" s="7"/>
      <c r="AE292" s="7"/>
    </row>
    <row r="293" spans="1:31" x14ac:dyDescent="0.2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row>
    <row r="294" spans="1:31" x14ac:dyDescent="0.2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c r="AA294" s="7"/>
      <c r="AB294" s="7"/>
      <c r="AC294" s="7"/>
      <c r="AD294" s="7"/>
      <c r="AE294" s="7"/>
    </row>
    <row r="295" spans="1:31" x14ac:dyDescent="0.2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c r="AA295" s="7"/>
      <c r="AB295" s="7"/>
      <c r="AC295" s="7"/>
      <c r="AD295" s="7"/>
      <c r="AE295" s="7"/>
    </row>
    <row r="296" spans="1:31" x14ac:dyDescent="0.2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c r="AA296" s="7"/>
      <c r="AB296" s="7"/>
      <c r="AC296" s="7"/>
      <c r="AD296" s="7"/>
      <c r="AE296" s="7"/>
    </row>
    <row r="297" spans="1:31" x14ac:dyDescent="0.2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c r="AA297" s="7"/>
      <c r="AB297" s="7"/>
      <c r="AC297" s="7"/>
      <c r="AD297" s="7"/>
      <c r="AE297" s="7"/>
    </row>
    <row r="298" spans="1:31" x14ac:dyDescent="0.2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c r="AA298" s="7"/>
      <c r="AB298" s="7"/>
      <c r="AC298" s="7"/>
      <c r="AD298" s="7"/>
      <c r="AE298" s="7"/>
    </row>
    <row r="299" spans="1:31" x14ac:dyDescent="0.2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c r="AA299" s="7"/>
      <c r="AB299" s="7"/>
      <c r="AC299" s="7"/>
      <c r="AD299" s="7"/>
      <c r="AE299" s="7"/>
    </row>
    <row r="300" spans="1:31" x14ac:dyDescent="0.2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c r="AA300" s="7"/>
      <c r="AB300" s="7"/>
      <c r="AC300" s="7"/>
      <c r="AD300" s="7"/>
      <c r="AE300" s="7"/>
    </row>
    <row r="301" spans="1:31" x14ac:dyDescent="0.2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c r="AA301" s="7"/>
      <c r="AB301" s="7"/>
      <c r="AC301" s="7"/>
      <c r="AD301" s="7"/>
      <c r="AE301" s="7"/>
    </row>
    <row r="302" spans="1:31" x14ac:dyDescent="0.2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c r="AA302" s="7"/>
      <c r="AB302" s="7"/>
      <c r="AC302" s="7"/>
      <c r="AD302" s="7"/>
      <c r="AE302" s="7"/>
    </row>
    <row r="303" spans="1:31" x14ac:dyDescent="0.2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c r="AA303" s="7"/>
      <c r="AB303" s="7"/>
      <c r="AC303" s="7"/>
      <c r="AD303" s="7"/>
      <c r="AE303" s="7"/>
    </row>
    <row r="304" spans="1:31" x14ac:dyDescent="0.2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c r="AA304" s="7"/>
      <c r="AB304" s="7"/>
      <c r="AC304" s="7"/>
      <c r="AD304" s="7"/>
      <c r="AE304" s="7"/>
    </row>
    <row r="305" spans="1:31" x14ac:dyDescent="0.2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c r="AA305" s="7"/>
      <c r="AB305" s="7"/>
      <c r="AC305" s="7"/>
      <c r="AD305" s="7"/>
      <c r="AE305" s="7"/>
    </row>
    <row r="306" spans="1:31" x14ac:dyDescent="0.2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c r="AA306" s="7"/>
      <c r="AB306" s="7"/>
      <c r="AC306" s="7"/>
      <c r="AD306" s="7"/>
      <c r="AE306" s="7"/>
    </row>
    <row r="307" spans="1:31" x14ac:dyDescent="0.2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c r="AA307" s="7"/>
      <c r="AB307" s="7"/>
      <c r="AC307" s="7"/>
      <c r="AD307" s="7"/>
      <c r="AE307" s="7"/>
    </row>
    <row r="308" spans="1:31" x14ac:dyDescent="0.2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c r="AA308" s="7"/>
      <c r="AB308" s="7"/>
      <c r="AC308" s="7"/>
      <c r="AD308" s="7"/>
      <c r="AE308" s="7"/>
    </row>
    <row r="309" spans="1:31" x14ac:dyDescent="0.2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c r="AA309" s="7"/>
      <c r="AB309" s="7"/>
      <c r="AC309" s="7"/>
      <c r="AD309" s="7"/>
      <c r="AE309" s="7"/>
    </row>
    <row r="310" spans="1:31" x14ac:dyDescent="0.2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c r="AA310" s="7"/>
      <c r="AB310" s="7"/>
      <c r="AC310" s="7"/>
      <c r="AD310" s="7"/>
      <c r="AE310" s="7"/>
    </row>
    <row r="311" spans="1:31" x14ac:dyDescent="0.2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c r="AA311" s="7"/>
      <c r="AB311" s="7"/>
      <c r="AC311" s="7"/>
      <c r="AD311" s="7"/>
      <c r="AE311" s="7"/>
    </row>
    <row r="312" spans="1:31" x14ac:dyDescent="0.2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c r="AA312" s="7"/>
      <c r="AB312" s="7"/>
      <c r="AC312" s="7"/>
      <c r="AD312" s="7"/>
      <c r="AE312" s="7"/>
    </row>
    <row r="313" spans="1:31" x14ac:dyDescent="0.2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c r="AA313" s="7"/>
      <c r="AB313" s="7"/>
      <c r="AC313" s="7"/>
      <c r="AD313" s="7"/>
      <c r="AE313" s="7"/>
    </row>
    <row r="314" spans="1:31" x14ac:dyDescent="0.2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c r="AA314" s="7"/>
      <c r="AB314" s="7"/>
      <c r="AC314" s="7"/>
      <c r="AD314" s="7"/>
      <c r="AE314" s="7"/>
    </row>
    <row r="315" spans="1:31" x14ac:dyDescent="0.2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c r="AA315" s="7"/>
      <c r="AB315" s="7"/>
      <c r="AC315" s="7"/>
      <c r="AD315" s="7"/>
      <c r="AE315" s="7"/>
    </row>
    <row r="316" spans="1:31" x14ac:dyDescent="0.2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c r="AA316" s="7"/>
      <c r="AB316" s="7"/>
      <c r="AC316" s="7"/>
      <c r="AD316" s="7"/>
      <c r="AE316" s="7"/>
    </row>
    <row r="317" spans="1:31" x14ac:dyDescent="0.2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c r="AA317" s="7"/>
      <c r="AB317" s="7"/>
      <c r="AC317" s="7"/>
      <c r="AD317" s="7"/>
      <c r="AE317" s="7"/>
    </row>
    <row r="318" spans="1:31" x14ac:dyDescent="0.2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c r="AA318" s="7"/>
      <c r="AB318" s="7"/>
      <c r="AC318" s="7"/>
      <c r="AD318" s="7"/>
      <c r="AE318" s="7"/>
    </row>
    <row r="319" spans="1:31" x14ac:dyDescent="0.2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c r="AA319" s="7"/>
      <c r="AB319" s="7"/>
      <c r="AC319" s="7"/>
      <c r="AD319" s="7"/>
      <c r="AE319" s="7"/>
    </row>
    <row r="320" spans="1:31" x14ac:dyDescent="0.2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c r="AA320" s="7"/>
      <c r="AB320" s="7"/>
      <c r="AC320" s="7"/>
      <c r="AD320" s="7"/>
      <c r="AE320" s="7"/>
    </row>
    <row r="321" spans="1:31" x14ac:dyDescent="0.2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c r="AA321" s="7"/>
      <c r="AB321" s="7"/>
      <c r="AC321" s="7"/>
      <c r="AD321" s="7"/>
      <c r="AE321" s="7"/>
    </row>
    <row r="322" spans="1:31" x14ac:dyDescent="0.2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c r="AA322" s="7"/>
      <c r="AB322" s="7"/>
      <c r="AC322" s="7"/>
      <c r="AD322" s="7"/>
      <c r="AE322" s="7"/>
    </row>
    <row r="323" spans="1:31" x14ac:dyDescent="0.2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c r="AA323" s="7"/>
      <c r="AB323" s="7"/>
      <c r="AC323" s="7"/>
      <c r="AD323" s="7"/>
      <c r="AE323" s="7"/>
    </row>
    <row r="324" spans="1:31" x14ac:dyDescent="0.2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row>
    <row r="325" spans="1:31" x14ac:dyDescent="0.2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c r="AA325" s="7"/>
      <c r="AB325" s="7"/>
      <c r="AC325" s="7"/>
      <c r="AD325" s="7"/>
      <c r="AE325" s="7"/>
    </row>
    <row r="326" spans="1:31" x14ac:dyDescent="0.2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c r="AA326" s="7"/>
      <c r="AB326" s="7"/>
      <c r="AC326" s="7"/>
      <c r="AD326" s="7"/>
      <c r="AE326" s="7"/>
    </row>
    <row r="327" spans="1:31" x14ac:dyDescent="0.2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c r="AA327" s="7"/>
      <c r="AB327" s="7"/>
      <c r="AC327" s="7"/>
      <c r="AD327" s="7"/>
      <c r="AE327" s="7"/>
    </row>
    <row r="328" spans="1:31" x14ac:dyDescent="0.2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row>
    <row r="329" spans="1:31" x14ac:dyDescent="0.2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c r="AA329" s="7"/>
      <c r="AB329" s="7"/>
      <c r="AC329" s="7"/>
      <c r="AD329" s="7"/>
      <c r="AE329" s="7"/>
    </row>
    <row r="330" spans="1:31" x14ac:dyDescent="0.2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c r="AA330" s="7"/>
      <c r="AB330" s="7"/>
      <c r="AC330" s="7"/>
      <c r="AD330" s="7"/>
      <c r="AE330" s="7"/>
    </row>
    <row r="331" spans="1:31" x14ac:dyDescent="0.2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c r="AA331" s="7"/>
      <c r="AB331" s="7"/>
      <c r="AC331" s="7"/>
      <c r="AD331" s="7"/>
      <c r="AE331" s="7"/>
    </row>
    <row r="332" spans="1:31" x14ac:dyDescent="0.2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c r="AA332" s="7"/>
      <c r="AB332" s="7"/>
      <c r="AC332" s="7"/>
      <c r="AD332" s="7"/>
      <c r="AE332" s="7"/>
    </row>
    <row r="333" spans="1:31" x14ac:dyDescent="0.2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c r="AA333" s="7"/>
      <c r="AB333" s="7"/>
      <c r="AC333" s="7"/>
      <c r="AD333" s="7"/>
      <c r="AE333" s="7"/>
    </row>
    <row r="334" spans="1:31" x14ac:dyDescent="0.2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c r="AA334" s="7"/>
      <c r="AB334" s="7"/>
      <c r="AC334" s="7"/>
      <c r="AD334" s="7"/>
      <c r="AE334" s="7"/>
    </row>
    <row r="335" spans="1:31" x14ac:dyDescent="0.2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c r="AA335" s="7"/>
      <c r="AB335" s="7"/>
      <c r="AC335" s="7"/>
      <c r="AD335" s="7"/>
      <c r="AE335" s="7"/>
    </row>
    <row r="336" spans="1:31" x14ac:dyDescent="0.2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c r="AA336" s="7"/>
      <c r="AB336" s="7"/>
      <c r="AC336" s="7"/>
      <c r="AD336" s="7"/>
      <c r="AE336" s="7"/>
    </row>
    <row r="337" spans="1:31" x14ac:dyDescent="0.2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c r="AA337" s="7"/>
      <c r="AB337" s="7"/>
      <c r="AC337" s="7"/>
      <c r="AD337" s="7"/>
      <c r="AE337" s="7"/>
    </row>
    <row r="338" spans="1:31" x14ac:dyDescent="0.2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c r="AA338" s="7"/>
      <c r="AB338" s="7"/>
      <c r="AC338" s="7"/>
      <c r="AD338" s="7"/>
      <c r="AE338" s="7"/>
    </row>
    <row r="339" spans="1:31" x14ac:dyDescent="0.2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c r="AA339" s="7"/>
      <c r="AB339" s="7"/>
      <c r="AC339" s="7"/>
      <c r="AD339" s="7"/>
      <c r="AE339" s="7"/>
    </row>
    <row r="340" spans="1:31" x14ac:dyDescent="0.2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c r="AA340" s="7"/>
      <c r="AB340" s="7"/>
      <c r="AC340" s="7"/>
      <c r="AD340" s="7"/>
      <c r="AE340" s="7"/>
    </row>
    <row r="341" spans="1:31" x14ac:dyDescent="0.2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c r="AA341" s="7"/>
      <c r="AB341" s="7"/>
      <c r="AC341" s="7"/>
      <c r="AD341" s="7"/>
      <c r="AE341" s="7"/>
    </row>
    <row r="342" spans="1:31" x14ac:dyDescent="0.2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c r="AA342" s="7"/>
      <c r="AB342" s="7"/>
      <c r="AC342" s="7"/>
      <c r="AD342" s="7"/>
      <c r="AE342" s="7"/>
    </row>
    <row r="343" spans="1:31" x14ac:dyDescent="0.2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c r="AA343" s="7"/>
      <c r="AB343" s="7"/>
      <c r="AC343" s="7"/>
      <c r="AD343" s="7"/>
      <c r="AE343" s="7"/>
    </row>
    <row r="344" spans="1:31" x14ac:dyDescent="0.2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row>
    <row r="345" spans="1:31" x14ac:dyDescent="0.2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c r="AA345" s="7"/>
      <c r="AB345" s="7"/>
      <c r="AC345" s="7"/>
      <c r="AD345" s="7"/>
      <c r="AE345" s="7"/>
    </row>
    <row r="346" spans="1:31" x14ac:dyDescent="0.2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c r="AA346" s="7"/>
      <c r="AB346" s="7"/>
      <c r="AC346" s="7"/>
      <c r="AD346" s="7"/>
      <c r="AE346" s="7"/>
    </row>
    <row r="347" spans="1:31" x14ac:dyDescent="0.2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c r="AA347" s="7"/>
      <c r="AB347" s="7"/>
      <c r="AC347" s="7"/>
      <c r="AD347" s="7"/>
      <c r="AE347" s="7"/>
    </row>
    <row r="348" spans="1:31" x14ac:dyDescent="0.2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c r="AA348" s="7"/>
      <c r="AB348" s="7"/>
      <c r="AC348" s="7"/>
      <c r="AD348" s="7"/>
      <c r="AE348" s="7"/>
    </row>
    <row r="349" spans="1:31" x14ac:dyDescent="0.2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c r="AA349" s="7"/>
      <c r="AB349" s="7"/>
      <c r="AC349" s="7"/>
      <c r="AD349" s="7"/>
      <c r="AE349" s="7"/>
    </row>
    <row r="350" spans="1:31" x14ac:dyDescent="0.2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c r="AA350" s="7"/>
      <c r="AB350" s="7"/>
      <c r="AC350" s="7"/>
      <c r="AD350" s="7"/>
      <c r="AE350" s="7"/>
    </row>
    <row r="351" spans="1:31" x14ac:dyDescent="0.2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c r="AA351" s="7"/>
      <c r="AB351" s="7"/>
      <c r="AC351" s="7"/>
      <c r="AD351" s="7"/>
      <c r="AE351" s="7"/>
    </row>
    <row r="352" spans="1:31" x14ac:dyDescent="0.2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c r="AA352" s="7"/>
      <c r="AB352" s="7"/>
      <c r="AC352" s="7"/>
      <c r="AD352" s="7"/>
      <c r="AE352" s="7"/>
    </row>
    <row r="353" spans="1:31" x14ac:dyDescent="0.2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c r="AA353" s="7"/>
      <c r="AB353" s="7"/>
      <c r="AC353" s="7"/>
      <c r="AD353" s="7"/>
      <c r="AE353" s="7"/>
    </row>
    <row r="354" spans="1:31" x14ac:dyDescent="0.2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c r="AA354" s="7"/>
      <c r="AB354" s="7"/>
      <c r="AC354" s="7"/>
      <c r="AD354" s="7"/>
      <c r="AE354" s="7"/>
    </row>
  </sheetData>
  <sheetProtection password="C607" sheet="1" objects="1" scenarios="1" formatCells="0" formatColumns="0" formatRows="0" insertColumns="0" insertRows="0" insertHyperlinks="0" deleteColumns="0" deleteRows="0" sort="0" autoFilter="0" pivotTables="0"/>
  <mergeCells count="2">
    <mergeCell ref="J18:O20"/>
    <mergeCell ref="A1:H20"/>
  </mergeCells>
  <pageMargins left="0.7" right="0.7" top="0.75" bottom="0.75" header="0.3" footer="0.3"/>
  <pageSetup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P44"/>
  <sheetViews>
    <sheetView showGridLines="0" view="pageBreakPreview" topLeftCell="C1" zoomScale="60" workbookViewId="0">
      <selection activeCell="O40" sqref="O40"/>
    </sheetView>
  </sheetViews>
  <sheetFormatPr defaultRowHeight="15" x14ac:dyDescent="0.25"/>
  <cols>
    <col min="1" max="1" width="30.140625" bestFit="1" customWidth="1"/>
    <col min="2" max="2" width="45.42578125" bestFit="1" customWidth="1"/>
    <col min="3" max="3" width="43.42578125" bestFit="1" customWidth="1"/>
    <col min="4" max="4" width="32.5703125" bestFit="1" customWidth="1"/>
    <col min="5" max="5" width="56.5703125" bestFit="1" customWidth="1"/>
    <col min="6" max="6" width="62.7109375" bestFit="1" customWidth="1"/>
    <col min="7" max="7" width="21.5703125" bestFit="1" customWidth="1"/>
    <col min="8" max="8" width="20.42578125" customWidth="1"/>
    <col min="9" max="9" width="23.42578125" bestFit="1" customWidth="1"/>
    <col min="10" max="10" width="22.7109375" bestFit="1" customWidth="1"/>
    <col min="13" max="13" width="12.28515625" bestFit="1" customWidth="1"/>
    <col min="14" max="14" width="19.7109375" bestFit="1" customWidth="1"/>
    <col min="15" max="15" width="25.5703125" bestFit="1" customWidth="1"/>
    <col min="16" max="16" width="117.7109375" style="1" bestFit="1" customWidth="1"/>
  </cols>
  <sheetData>
    <row r="1" spans="1:16" s="1" customFormat="1" ht="15.75" thickBot="1" x14ac:dyDescent="0.3">
      <c r="A1" s="1" t="s">
        <v>61</v>
      </c>
      <c r="B1" s="1" t="s">
        <v>62</v>
      </c>
      <c r="C1" s="1" t="s">
        <v>63</v>
      </c>
      <c r="D1" s="1" t="s">
        <v>64</v>
      </c>
      <c r="E1" s="1" t="s">
        <v>65</v>
      </c>
      <c r="F1" s="1" t="s">
        <v>10</v>
      </c>
      <c r="G1" s="6" t="s">
        <v>95</v>
      </c>
      <c r="H1" s="6" t="s">
        <v>96</v>
      </c>
      <c r="I1" s="6" t="s">
        <v>97</v>
      </c>
      <c r="J1" s="9" t="s">
        <v>402</v>
      </c>
      <c r="K1" s="10" t="s">
        <v>403</v>
      </c>
      <c r="L1" s="10" t="s">
        <v>404</v>
      </c>
      <c r="M1" s="10" t="s">
        <v>405</v>
      </c>
      <c r="N1" s="10" t="s">
        <v>367</v>
      </c>
      <c r="O1" s="10" t="s">
        <v>368</v>
      </c>
      <c r="P1" s="10" t="s">
        <v>400</v>
      </c>
    </row>
    <row r="2" spans="1:16" x14ac:dyDescent="0.25">
      <c r="A2" s="1" t="s">
        <v>19</v>
      </c>
      <c r="B2" s="1" t="s">
        <v>20</v>
      </c>
      <c r="C2" s="1" t="s">
        <v>22</v>
      </c>
      <c r="D2" s="1" t="s">
        <v>2</v>
      </c>
      <c r="E2" s="1" t="s">
        <v>17</v>
      </c>
      <c r="F2" s="1" t="s">
        <v>350</v>
      </c>
      <c r="G2" s="5" t="s">
        <v>2</v>
      </c>
      <c r="H2" s="5" t="s">
        <v>3</v>
      </c>
      <c r="I2" s="5">
        <v>8569</v>
      </c>
      <c r="J2" s="11"/>
      <c r="K2" s="11"/>
      <c r="L2" s="12"/>
      <c r="M2" s="13"/>
      <c r="N2" s="12" t="s">
        <v>369</v>
      </c>
      <c r="O2" s="12" t="s">
        <v>395</v>
      </c>
      <c r="P2" s="19" t="s">
        <v>401</v>
      </c>
    </row>
    <row r="3" spans="1:16" x14ac:dyDescent="0.25">
      <c r="A3" s="1" t="s">
        <v>14</v>
      </c>
      <c r="B3" s="1" t="s">
        <v>50</v>
      </c>
      <c r="C3" s="1" t="s">
        <v>30</v>
      </c>
      <c r="D3" s="1" t="s">
        <v>1</v>
      </c>
      <c r="E3" s="1" t="s">
        <v>53</v>
      </c>
      <c r="F3" s="1" t="s">
        <v>351</v>
      </c>
      <c r="G3" s="4" t="s">
        <v>1</v>
      </c>
      <c r="H3" s="4" t="s">
        <v>4</v>
      </c>
      <c r="I3" s="4">
        <v>7845</v>
      </c>
      <c r="J3" s="11"/>
      <c r="K3" s="11"/>
      <c r="L3" s="12"/>
      <c r="M3" s="12"/>
      <c r="N3" s="12" t="s">
        <v>370</v>
      </c>
      <c r="O3" s="12" t="s">
        <v>395</v>
      </c>
      <c r="P3" s="12"/>
    </row>
    <row r="4" spans="1:16" x14ac:dyDescent="0.25">
      <c r="A4" s="1" t="s">
        <v>60</v>
      </c>
      <c r="B4" s="1" t="s">
        <v>57</v>
      </c>
      <c r="C4" s="1" t="s">
        <v>67</v>
      </c>
      <c r="D4" s="1" t="s">
        <v>0</v>
      </c>
      <c r="E4" s="1" t="s">
        <v>68</v>
      </c>
      <c r="F4" s="3" t="s">
        <v>92</v>
      </c>
      <c r="G4" s="5" t="s">
        <v>6</v>
      </c>
      <c r="H4" s="5" t="s">
        <v>7</v>
      </c>
      <c r="I4" s="5">
        <v>3559</v>
      </c>
      <c r="J4" s="11"/>
      <c r="K4" s="11"/>
      <c r="L4" s="12"/>
      <c r="M4" s="12"/>
      <c r="N4" s="12" t="s">
        <v>371</v>
      </c>
      <c r="O4" s="18" t="s">
        <v>395</v>
      </c>
      <c r="P4" s="18"/>
    </row>
    <row r="5" spans="1:16" x14ac:dyDescent="0.25">
      <c r="A5" s="1" t="s">
        <v>23</v>
      </c>
      <c r="B5" s="1" t="s">
        <v>46</v>
      </c>
      <c r="C5" s="1" t="s">
        <v>32</v>
      </c>
      <c r="D5" s="1" t="s">
        <v>5</v>
      </c>
      <c r="E5" s="1" t="s">
        <v>69</v>
      </c>
      <c r="F5" s="1" t="s">
        <v>66</v>
      </c>
      <c r="G5" s="4" t="s">
        <v>8</v>
      </c>
      <c r="H5" s="4" t="s">
        <v>9</v>
      </c>
      <c r="I5" s="4">
        <v>7745</v>
      </c>
      <c r="J5" s="11"/>
      <c r="K5" s="11"/>
      <c r="L5" s="12"/>
      <c r="M5" s="12"/>
      <c r="N5" s="12" t="s">
        <v>372</v>
      </c>
      <c r="O5" s="18" t="s">
        <v>395</v>
      </c>
      <c r="P5" s="18"/>
    </row>
    <row r="6" spans="1:16" x14ac:dyDescent="0.25">
      <c r="A6" s="1"/>
      <c r="B6" s="1" t="s">
        <v>15</v>
      </c>
      <c r="C6" s="1" t="s">
        <v>51</v>
      </c>
      <c r="D6" s="1" t="s">
        <v>11</v>
      </c>
      <c r="E6" s="1" t="s">
        <v>56</v>
      </c>
      <c r="F6" s="3" t="s">
        <v>98</v>
      </c>
      <c r="G6" s="5" t="s">
        <v>11</v>
      </c>
      <c r="H6" s="5" t="s">
        <v>12</v>
      </c>
      <c r="I6" s="5">
        <v>3897</v>
      </c>
      <c r="J6" s="11"/>
      <c r="K6" s="11"/>
      <c r="L6" s="12"/>
      <c r="M6" s="12"/>
      <c r="N6" s="12" t="s">
        <v>373</v>
      </c>
      <c r="O6" s="18" t="s">
        <v>395</v>
      </c>
      <c r="P6" s="18"/>
    </row>
    <row r="7" spans="1:16" x14ac:dyDescent="0.25">
      <c r="B7" s="1" t="s">
        <v>72</v>
      </c>
      <c r="C7" s="1" t="s">
        <v>16</v>
      </c>
      <c r="D7" s="1" t="s">
        <v>611</v>
      </c>
      <c r="E7" s="1" t="s">
        <v>28</v>
      </c>
      <c r="F7" s="1" t="s">
        <v>70</v>
      </c>
      <c r="J7" s="11"/>
      <c r="K7" s="11"/>
      <c r="L7" s="12"/>
      <c r="M7" s="12"/>
      <c r="N7" s="12" t="s">
        <v>374</v>
      </c>
      <c r="O7" s="18" t="s">
        <v>395</v>
      </c>
      <c r="P7" s="18"/>
    </row>
    <row r="8" spans="1:16" x14ac:dyDescent="0.25">
      <c r="B8" s="1" t="s">
        <v>27</v>
      </c>
      <c r="C8" s="1" t="s">
        <v>73</v>
      </c>
      <c r="E8" s="1" t="s">
        <v>37</v>
      </c>
      <c r="F8" s="1" t="s">
        <v>33</v>
      </c>
      <c r="J8" s="11"/>
      <c r="K8" s="11"/>
      <c r="L8" s="12"/>
      <c r="M8" s="12"/>
      <c r="N8" s="12" t="s">
        <v>375</v>
      </c>
      <c r="O8" s="18" t="s">
        <v>395</v>
      </c>
      <c r="P8" s="18"/>
    </row>
    <row r="9" spans="1:16" x14ac:dyDescent="0.25">
      <c r="B9" s="1" t="s">
        <v>34</v>
      </c>
      <c r="C9" s="1" t="s">
        <v>75</v>
      </c>
      <c r="E9" s="1" t="s">
        <v>35</v>
      </c>
      <c r="F9" s="1" t="s">
        <v>71</v>
      </c>
      <c r="J9" s="11"/>
      <c r="K9" s="11"/>
      <c r="L9" s="12"/>
      <c r="M9" s="12"/>
      <c r="N9" s="12" t="s">
        <v>369</v>
      </c>
      <c r="O9" s="18" t="s">
        <v>395</v>
      </c>
      <c r="P9" s="18"/>
    </row>
    <row r="10" spans="1:16" x14ac:dyDescent="0.25">
      <c r="B10" s="1" t="s">
        <v>76</v>
      </c>
      <c r="C10" s="1" t="s">
        <v>77</v>
      </c>
      <c r="E10" s="1" t="s">
        <v>78</v>
      </c>
      <c r="F10" s="1" t="s">
        <v>41</v>
      </c>
      <c r="J10" s="11"/>
      <c r="K10" s="11"/>
      <c r="L10" s="12"/>
      <c r="M10" s="12"/>
      <c r="N10" s="11" t="s">
        <v>374</v>
      </c>
      <c r="O10" s="18" t="s">
        <v>395</v>
      </c>
      <c r="P10" s="18"/>
    </row>
    <row r="11" spans="1:16" x14ac:dyDescent="0.25">
      <c r="B11" s="1" t="s">
        <v>55</v>
      </c>
      <c r="C11" s="1" t="s">
        <v>23</v>
      </c>
      <c r="E11" s="1" t="s">
        <v>43</v>
      </c>
      <c r="F11" s="1" t="s">
        <v>74</v>
      </c>
      <c r="J11" s="14"/>
      <c r="K11" s="11"/>
      <c r="L11" s="12"/>
      <c r="M11" s="12"/>
      <c r="N11" s="12" t="s">
        <v>377</v>
      </c>
      <c r="O11" s="18" t="s">
        <v>395</v>
      </c>
      <c r="P11" s="18"/>
    </row>
    <row r="12" spans="1:16" x14ac:dyDescent="0.25">
      <c r="B12" s="1" t="s">
        <v>48</v>
      </c>
      <c r="E12" s="1" t="s">
        <v>79</v>
      </c>
      <c r="F12" s="1" t="s">
        <v>42</v>
      </c>
      <c r="J12" s="14"/>
      <c r="K12" s="11"/>
      <c r="L12" s="11"/>
      <c r="M12" s="12"/>
      <c r="N12" s="12" t="s">
        <v>375</v>
      </c>
      <c r="O12" s="18" t="s">
        <v>395</v>
      </c>
      <c r="P12" s="18"/>
    </row>
    <row r="13" spans="1:16" x14ac:dyDescent="0.25">
      <c r="B13" s="1" t="s">
        <v>81</v>
      </c>
      <c r="E13" s="1" t="s">
        <v>82</v>
      </c>
      <c r="F13" s="1" t="s">
        <v>26</v>
      </c>
      <c r="J13" s="14"/>
      <c r="K13" s="11"/>
      <c r="L13" s="12"/>
      <c r="M13" s="12"/>
      <c r="N13" s="12" t="s">
        <v>378</v>
      </c>
      <c r="O13" s="18" t="s">
        <v>395</v>
      </c>
      <c r="P13" s="18"/>
    </row>
    <row r="14" spans="1:16" x14ac:dyDescent="0.25">
      <c r="B14" s="1" t="s">
        <v>44</v>
      </c>
      <c r="E14" s="1" t="s">
        <v>25</v>
      </c>
      <c r="F14" s="3" t="s">
        <v>91</v>
      </c>
      <c r="J14" s="14"/>
      <c r="K14" s="11"/>
      <c r="L14" s="12"/>
      <c r="M14" s="12"/>
      <c r="N14" s="12" t="s">
        <v>379</v>
      </c>
      <c r="O14" s="18" t="s">
        <v>395</v>
      </c>
      <c r="P14" s="18"/>
    </row>
    <row r="15" spans="1:16" x14ac:dyDescent="0.25">
      <c r="B15" s="1" t="s">
        <v>23</v>
      </c>
      <c r="E15" s="1" t="s">
        <v>54</v>
      </c>
      <c r="F15" s="1" t="s">
        <v>21</v>
      </c>
      <c r="J15" s="14"/>
      <c r="K15" s="11"/>
      <c r="L15" s="12"/>
      <c r="M15" s="12"/>
      <c r="N15" s="12" t="s">
        <v>375</v>
      </c>
      <c r="O15" s="18" t="s">
        <v>395</v>
      </c>
      <c r="P15" s="18"/>
    </row>
    <row r="16" spans="1:16" x14ac:dyDescent="0.25">
      <c r="E16" s="1" t="s">
        <v>39</v>
      </c>
      <c r="F16" s="3" t="s">
        <v>93</v>
      </c>
      <c r="J16" s="14"/>
      <c r="K16" s="11"/>
      <c r="L16" s="12"/>
      <c r="M16" s="12"/>
      <c r="N16" s="12" t="s">
        <v>375</v>
      </c>
      <c r="O16" s="18" t="s">
        <v>395</v>
      </c>
      <c r="P16" s="18"/>
    </row>
    <row r="17" spans="2:16" x14ac:dyDescent="0.25">
      <c r="E17" s="1" t="s">
        <v>84</v>
      </c>
      <c r="F17" s="1" t="s">
        <v>80</v>
      </c>
      <c r="J17" s="11"/>
      <c r="K17" s="11"/>
      <c r="L17" s="12"/>
      <c r="M17" s="12"/>
      <c r="N17" s="12" t="s">
        <v>376</v>
      </c>
      <c r="O17" s="18" t="s">
        <v>398</v>
      </c>
      <c r="P17" s="18"/>
    </row>
    <row r="18" spans="2:16" x14ac:dyDescent="0.25">
      <c r="E18" s="1" t="s">
        <v>52</v>
      </c>
      <c r="F18" s="1" t="s">
        <v>36</v>
      </c>
      <c r="J18" s="14"/>
      <c r="K18" s="11"/>
      <c r="L18" s="12"/>
      <c r="M18" s="12"/>
      <c r="N18" s="12" t="s">
        <v>376</v>
      </c>
      <c r="O18" s="18" t="s">
        <v>398</v>
      </c>
      <c r="P18" s="18"/>
    </row>
    <row r="19" spans="2:16" x14ac:dyDescent="0.25">
      <c r="E19" s="1" t="s">
        <v>23</v>
      </c>
      <c r="F19" s="1" t="s">
        <v>40</v>
      </c>
      <c r="J19" s="14"/>
      <c r="K19" s="11"/>
      <c r="L19" s="12"/>
      <c r="M19" s="12"/>
      <c r="N19" s="12" t="s">
        <v>380</v>
      </c>
      <c r="O19" s="18" t="s">
        <v>398</v>
      </c>
      <c r="P19" s="18"/>
    </row>
    <row r="20" spans="2:16" x14ac:dyDescent="0.25">
      <c r="F20" s="1" t="s">
        <v>100</v>
      </c>
      <c r="J20" s="14"/>
      <c r="K20" s="11"/>
      <c r="L20" s="12"/>
      <c r="M20" s="12"/>
      <c r="N20" s="12" t="s">
        <v>381</v>
      </c>
      <c r="O20" s="18" t="s">
        <v>398</v>
      </c>
      <c r="P20" s="18"/>
    </row>
    <row r="21" spans="2:16" x14ac:dyDescent="0.25">
      <c r="F21" s="1" t="s">
        <v>83</v>
      </c>
      <c r="J21" s="14"/>
      <c r="K21" s="11"/>
      <c r="L21" s="12"/>
      <c r="M21" s="12"/>
      <c r="N21" s="12" t="s">
        <v>382</v>
      </c>
      <c r="O21" s="18" t="s">
        <v>398</v>
      </c>
      <c r="P21" s="18"/>
    </row>
    <row r="22" spans="2:16" x14ac:dyDescent="0.25">
      <c r="F22" s="1" t="s">
        <v>29</v>
      </c>
      <c r="J22" s="14"/>
      <c r="K22" s="11"/>
      <c r="L22" s="12"/>
      <c r="M22" s="12"/>
      <c r="N22" s="12" t="s">
        <v>382</v>
      </c>
      <c r="O22" s="18" t="s">
        <v>398</v>
      </c>
      <c r="P22" s="18"/>
    </row>
    <row r="23" spans="2:16" x14ac:dyDescent="0.25">
      <c r="F23" s="1" t="s">
        <v>24</v>
      </c>
      <c r="J23" s="14"/>
      <c r="K23" s="11"/>
      <c r="L23" s="12"/>
      <c r="M23" s="12"/>
      <c r="N23" s="12" t="s">
        <v>381</v>
      </c>
      <c r="O23" s="18" t="s">
        <v>398</v>
      </c>
      <c r="P23" s="18"/>
    </row>
    <row r="24" spans="2:16" x14ac:dyDescent="0.25">
      <c r="F24" s="1" t="s">
        <v>13</v>
      </c>
      <c r="J24" s="14"/>
      <c r="K24" s="11"/>
      <c r="L24" s="12"/>
      <c r="M24" s="12"/>
      <c r="N24" s="12" t="s">
        <v>376</v>
      </c>
      <c r="O24" s="18" t="s">
        <v>398</v>
      </c>
      <c r="P24" s="18"/>
    </row>
    <row r="25" spans="2:16" x14ac:dyDescent="0.25">
      <c r="F25" s="1" t="s">
        <v>614</v>
      </c>
      <c r="J25" s="14"/>
      <c r="K25" s="11"/>
      <c r="L25" s="12"/>
      <c r="M25" s="12"/>
      <c r="N25" s="12" t="s">
        <v>383</v>
      </c>
      <c r="O25" s="18" t="s">
        <v>398</v>
      </c>
      <c r="P25" s="18"/>
    </row>
    <row r="26" spans="2:16" x14ac:dyDescent="0.25">
      <c r="F26" s="3" t="s">
        <v>94</v>
      </c>
      <c r="J26" s="14"/>
      <c r="K26" s="11"/>
      <c r="L26" s="12"/>
      <c r="M26" s="12"/>
      <c r="N26" s="17" t="s">
        <v>383</v>
      </c>
      <c r="O26" s="18" t="s">
        <v>398</v>
      </c>
      <c r="P26" s="18"/>
    </row>
    <row r="27" spans="2:16" x14ac:dyDescent="0.25">
      <c r="F27" s="1" t="s">
        <v>47</v>
      </c>
      <c r="G27" s="3"/>
      <c r="H27" s="3"/>
      <c r="I27" s="3"/>
      <c r="J27" s="14"/>
      <c r="K27" s="11"/>
      <c r="L27" s="12"/>
      <c r="M27" s="12"/>
      <c r="N27" s="12" t="s">
        <v>387</v>
      </c>
      <c r="O27" s="18" t="s">
        <v>398</v>
      </c>
      <c r="P27" s="18"/>
    </row>
    <row r="28" spans="2:16" x14ac:dyDescent="0.25">
      <c r="F28" s="1" t="s">
        <v>613</v>
      </c>
      <c r="J28" s="14"/>
      <c r="K28" s="11"/>
      <c r="L28" s="12"/>
      <c r="M28" s="12"/>
      <c r="N28" s="17" t="s">
        <v>388</v>
      </c>
      <c r="O28" s="18" t="s">
        <v>398</v>
      </c>
      <c r="P28" s="18"/>
    </row>
    <row r="29" spans="2:16" x14ac:dyDescent="0.25">
      <c r="F29" s="1" t="s">
        <v>612</v>
      </c>
      <c r="G29" s="1"/>
      <c r="H29" s="1"/>
      <c r="I29" s="1"/>
      <c r="J29" s="15"/>
      <c r="K29" s="16"/>
      <c r="L29" s="17"/>
      <c r="M29" s="17"/>
      <c r="N29" s="12" t="s">
        <v>380</v>
      </c>
      <c r="O29" s="18" t="s">
        <v>398</v>
      </c>
      <c r="P29" s="18"/>
    </row>
    <row r="30" spans="2:16" x14ac:dyDescent="0.25">
      <c r="F30" s="3" t="s">
        <v>99</v>
      </c>
      <c r="J30" s="14"/>
      <c r="K30" s="11"/>
      <c r="L30" s="12"/>
      <c r="M30" s="12"/>
      <c r="N30" s="12" t="s">
        <v>384</v>
      </c>
      <c r="O30" s="18" t="s">
        <v>399</v>
      </c>
      <c r="P30" s="18"/>
    </row>
    <row r="31" spans="2:16" x14ac:dyDescent="0.25">
      <c r="B31" s="3"/>
      <c r="F31" s="3" t="s">
        <v>90</v>
      </c>
      <c r="G31" s="1"/>
      <c r="H31" s="1"/>
      <c r="I31" s="1"/>
      <c r="J31" s="15"/>
      <c r="K31" s="16"/>
      <c r="L31" s="17"/>
      <c r="M31" s="17"/>
      <c r="N31" s="12" t="s">
        <v>385</v>
      </c>
      <c r="O31" s="18" t="s">
        <v>399</v>
      </c>
      <c r="P31" s="18"/>
    </row>
    <row r="32" spans="2:16" x14ac:dyDescent="0.25">
      <c r="E32" s="3"/>
      <c r="F32" s="1" t="s">
        <v>85</v>
      </c>
      <c r="J32" s="14"/>
      <c r="K32" s="11"/>
      <c r="L32" s="12"/>
      <c r="M32" s="12"/>
      <c r="N32" s="12" t="s">
        <v>385</v>
      </c>
      <c r="O32" s="18" t="s">
        <v>399</v>
      </c>
      <c r="P32" s="18"/>
    </row>
    <row r="33" spans="6:16" x14ac:dyDescent="0.25">
      <c r="F33" s="1" t="s">
        <v>86</v>
      </c>
      <c r="J33" s="14"/>
      <c r="K33" s="11"/>
      <c r="L33" s="12"/>
      <c r="M33" s="12"/>
      <c r="N33" s="12" t="s">
        <v>389</v>
      </c>
      <c r="O33" s="18" t="s">
        <v>399</v>
      </c>
      <c r="P33" s="18"/>
    </row>
    <row r="34" spans="6:16" x14ac:dyDescent="0.25">
      <c r="F34" s="1" t="s">
        <v>87</v>
      </c>
      <c r="J34" s="14"/>
      <c r="K34" s="11"/>
      <c r="L34" s="12"/>
      <c r="M34" s="12"/>
      <c r="N34" s="12" t="s">
        <v>384</v>
      </c>
      <c r="O34" s="18" t="s">
        <v>399</v>
      </c>
      <c r="P34" s="18"/>
    </row>
    <row r="35" spans="6:16" x14ac:dyDescent="0.25">
      <c r="F35" s="1" t="s">
        <v>88</v>
      </c>
      <c r="J35" s="14"/>
      <c r="K35" s="11"/>
      <c r="L35" s="12"/>
      <c r="M35" s="12"/>
      <c r="N35" s="12" t="s">
        <v>394</v>
      </c>
      <c r="O35" s="18" t="s">
        <v>399</v>
      </c>
      <c r="P35" s="18"/>
    </row>
    <row r="36" spans="6:16" x14ac:dyDescent="0.25">
      <c r="F36" s="1" t="s">
        <v>89</v>
      </c>
      <c r="G36" s="3"/>
      <c r="H36" s="3"/>
      <c r="I36" s="3"/>
      <c r="J36" s="14"/>
      <c r="K36" s="11"/>
      <c r="L36" s="12"/>
      <c r="M36" s="12"/>
      <c r="N36" s="12" t="s">
        <v>386</v>
      </c>
      <c r="O36" s="18" t="s">
        <v>396</v>
      </c>
      <c r="P36" s="18"/>
    </row>
    <row r="37" spans="6:16" x14ac:dyDescent="0.25">
      <c r="F37" s="1" t="s">
        <v>31</v>
      </c>
      <c r="J37" s="14"/>
      <c r="K37" s="11"/>
      <c r="L37" s="12"/>
      <c r="M37" s="12"/>
      <c r="N37" s="12" t="s">
        <v>390</v>
      </c>
      <c r="O37" s="18" t="s">
        <v>396</v>
      </c>
      <c r="P37" s="18"/>
    </row>
    <row r="38" spans="6:16" x14ac:dyDescent="0.25">
      <c r="F38" s="1" t="s">
        <v>49</v>
      </c>
      <c r="J38" s="14"/>
      <c r="K38" s="11"/>
      <c r="L38" s="12"/>
      <c r="M38" s="12"/>
      <c r="N38" s="12" t="s">
        <v>391</v>
      </c>
      <c r="O38" s="18" t="s">
        <v>396</v>
      </c>
      <c r="P38" s="18"/>
    </row>
    <row r="39" spans="6:16" x14ac:dyDescent="0.25">
      <c r="F39" s="1" t="s">
        <v>58</v>
      </c>
      <c r="J39" s="14"/>
      <c r="K39" s="11"/>
      <c r="L39" s="12"/>
      <c r="M39" s="12"/>
      <c r="N39" s="12" t="s">
        <v>392</v>
      </c>
      <c r="O39" s="18" t="s">
        <v>397</v>
      </c>
      <c r="P39" s="18"/>
    </row>
    <row r="40" spans="6:16" x14ac:dyDescent="0.25">
      <c r="F40" s="1" t="s">
        <v>18</v>
      </c>
      <c r="J40" s="14"/>
      <c r="K40" s="11"/>
      <c r="L40" s="12"/>
      <c r="M40" s="12"/>
      <c r="N40" s="12" t="s">
        <v>392</v>
      </c>
      <c r="O40" s="18" t="s">
        <v>397</v>
      </c>
      <c r="P40" s="18"/>
    </row>
    <row r="41" spans="6:16" x14ac:dyDescent="0.25">
      <c r="F41" s="1" t="s">
        <v>353</v>
      </c>
      <c r="J41" s="14"/>
      <c r="K41" s="11"/>
      <c r="L41" s="12"/>
      <c r="M41" s="12"/>
      <c r="N41" s="12" t="s">
        <v>393</v>
      </c>
      <c r="O41" s="18" t="s">
        <v>397</v>
      </c>
      <c r="P41" s="18"/>
    </row>
    <row r="42" spans="6:16" x14ac:dyDescent="0.25">
      <c r="F42" s="1" t="s">
        <v>352</v>
      </c>
      <c r="J42" s="14"/>
      <c r="K42" s="11"/>
      <c r="L42" s="12"/>
      <c r="M42" s="12"/>
      <c r="N42" s="17" t="s">
        <v>394</v>
      </c>
      <c r="O42" s="18" t="s">
        <v>399</v>
      </c>
      <c r="P42" s="18"/>
    </row>
    <row r="43" spans="6:16" x14ac:dyDescent="0.25">
      <c r="F43" s="1" t="s">
        <v>59</v>
      </c>
      <c r="G43" s="3"/>
      <c r="H43" s="3"/>
      <c r="I43" s="29"/>
      <c r="J43" s="30"/>
      <c r="K43" s="31"/>
      <c r="L43" s="31"/>
      <c r="M43" s="31"/>
      <c r="N43" s="17" t="s">
        <v>443</v>
      </c>
      <c r="O43" s="18" t="s">
        <v>397</v>
      </c>
      <c r="P43" s="32"/>
    </row>
    <row r="44" spans="6:16" x14ac:dyDescent="0.25">
      <c r="F44" s="1" t="s">
        <v>45</v>
      </c>
      <c r="G44" s="3"/>
      <c r="H44" s="3"/>
      <c r="I44" s="29"/>
      <c r="J44" s="30"/>
      <c r="K44" s="31"/>
      <c r="L44" s="31"/>
      <c r="M44" s="31"/>
      <c r="N44" s="31" t="s">
        <v>391</v>
      </c>
      <c r="O44" s="18" t="s">
        <v>396</v>
      </c>
      <c r="P44" s="32"/>
    </row>
  </sheetData>
  <hyperlinks>
    <hyperlink ref="P2" r:id="rId1" xr:uid="{00000000-0004-0000-0200-000000000000}"/>
  </hyperlinks>
  <pageMargins left="0.7" right="0.7" top="0.75" bottom="0.75" header="0.3" footer="0.3"/>
  <pageSetup scale="17" orientation="portrait" horizontalDpi="4294967293" r:id="rId2"/>
  <tableParts count="7">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pageSetUpPr fitToPage="1"/>
  </sheetPr>
  <dimension ref="A1:O296"/>
  <sheetViews>
    <sheetView showGridLines="0" view="pageBreakPreview" zoomScale="115" zoomScaleSheetLayoutView="115" workbookViewId="0">
      <pane xSplit="2" ySplit="1" topLeftCell="C2" activePane="bottomRight" state="frozen"/>
      <selection pane="topRight" activeCell="C1" sqref="C1"/>
      <selection pane="bottomLeft" activeCell="A2" sqref="A2"/>
      <selection pane="bottomRight" activeCell="H4" sqref="H4"/>
    </sheetView>
  </sheetViews>
  <sheetFormatPr defaultRowHeight="15" x14ac:dyDescent="0.25"/>
  <cols>
    <col min="1" max="1" width="23.28515625" style="27" bestFit="1" customWidth="1"/>
    <col min="2" max="2" width="32.42578125" style="27" bestFit="1" customWidth="1"/>
    <col min="3" max="3" width="11.85546875" style="28" bestFit="1" customWidth="1"/>
    <col min="4" max="4" width="19.28515625" style="27" customWidth="1"/>
    <col min="5" max="5" width="21.42578125" style="27" bestFit="1" customWidth="1"/>
    <col min="6" max="6" width="16.42578125" style="27" customWidth="1"/>
    <col min="7" max="7" width="16.5703125" style="27" customWidth="1"/>
    <col min="8" max="8" width="9.7109375" style="27" customWidth="1"/>
    <col min="9" max="9" width="8.7109375" style="27" customWidth="1"/>
    <col min="10" max="10" width="8.5703125" style="27" customWidth="1"/>
    <col min="11" max="11" width="6.28515625" style="27" customWidth="1"/>
    <col min="12" max="12" width="5.7109375" style="27" customWidth="1"/>
    <col min="13" max="13" width="7.7109375" style="27" customWidth="1"/>
    <col min="14" max="14" width="11.28515625" style="27" customWidth="1"/>
  </cols>
  <sheetData>
    <row r="1" spans="1:15" x14ac:dyDescent="0.25">
      <c r="A1" s="20" t="s">
        <v>101</v>
      </c>
      <c r="B1" s="20" t="s">
        <v>10</v>
      </c>
      <c r="C1" s="21" t="s">
        <v>102</v>
      </c>
      <c r="D1" s="20" t="s">
        <v>103</v>
      </c>
      <c r="E1" s="20" t="s">
        <v>104</v>
      </c>
      <c r="F1" s="20" t="s">
        <v>105</v>
      </c>
      <c r="G1" s="20" t="s">
        <v>106</v>
      </c>
      <c r="H1" s="20" t="s">
        <v>107</v>
      </c>
      <c r="I1" s="20" t="s">
        <v>108</v>
      </c>
      <c r="J1" s="20" t="s">
        <v>109</v>
      </c>
      <c r="K1" s="22" t="s">
        <v>110</v>
      </c>
      <c r="L1" s="20" t="s">
        <v>111</v>
      </c>
      <c r="M1" s="20" t="s">
        <v>112</v>
      </c>
      <c r="N1" s="22" t="s">
        <v>113</v>
      </c>
    </row>
    <row r="2" spans="1:15" x14ac:dyDescent="0.25">
      <c r="A2" s="23" t="s">
        <v>114</v>
      </c>
      <c r="B2" s="23" t="s">
        <v>29</v>
      </c>
      <c r="C2" s="24" t="s">
        <v>115</v>
      </c>
      <c r="D2" s="23" t="s">
        <v>19</v>
      </c>
      <c r="E2" s="23" t="s">
        <v>20</v>
      </c>
      <c r="F2" s="23" t="s">
        <v>116</v>
      </c>
      <c r="G2" s="23" t="s">
        <v>117</v>
      </c>
      <c r="H2" s="23" t="s">
        <v>118</v>
      </c>
      <c r="I2" s="23" t="s">
        <v>30</v>
      </c>
      <c r="J2" s="23"/>
      <c r="K2" s="23" t="s">
        <v>2</v>
      </c>
      <c r="L2" s="23" t="s">
        <v>25</v>
      </c>
      <c r="M2" s="23" t="s">
        <v>119</v>
      </c>
      <c r="N2" s="23" t="s">
        <v>120</v>
      </c>
      <c r="O2" s="1" t="s">
        <v>38</v>
      </c>
    </row>
    <row r="3" spans="1:15" x14ac:dyDescent="0.25">
      <c r="A3" s="23" t="s">
        <v>121</v>
      </c>
      <c r="B3" s="23" t="s">
        <v>24</v>
      </c>
      <c r="C3" s="24" t="s">
        <v>122</v>
      </c>
      <c r="D3" s="23" t="s">
        <v>14</v>
      </c>
      <c r="E3" s="23" t="s">
        <v>23</v>
      </c>
      <c r="F3" s="23" t="s">
        <v>123</v>
      </c>
      <c r="G3" s="23" t="s">
        <v>651</v>
      </c>
      <c r="H3" s="23" t="s">
        <v>124</v>
      </c>
      <c r="I3" s="23" t="s">
        <v>22</v>
      </c>
      <c r="J3" s="23"/>
      <c r="K3" s="23" t="s">
        <v>2</v>
      </c>
      <c r="L3" s="23" t="s">
        <v>25</v>
      </c>
      <c r="M3" s="23" t="s">
        <v>339</v>
      </c>
      <c r="N3" s="23"/>
      <c r="O3" s="1" t="s">
        <v>38</v>
      </c>
    </row>
    <row r="4" spans="1:15" ht="169.5" x14ac:dyDescent="0.25">
      <c r="A4" s="23" t="s">
        <v>125</v>
      </c>
      <c r="B4" s="23" t="s">
        <v>21</v>
      </c>
      <c r="C4" s="24" t="s">
        <v>126</v>
      </c>
      <c r="D4" s="23" t="s">
        <v>19</v>
      </c>
      <c r="E4" s="23" t="s">
        <v>20</v>
      </c>
      <c r="F4" s="23" t="s">
        <v>127</v>
      </c>
      <c r="G4" s="26" t="s">
        <v>652</v>
      </c>
      <c r="H4" s="23" t="s">
        <v>128</v>
      </c>
      <c r="I4" s="23" t="s">
        <v>22</v>
      </c>
      <c r="J4" s="23"/>
      <c r="K4" s="23" t="s">
        <v>2</v>
      </c>
      <c r="L4" s="23" t="s">
        <v>25</v>
      </c>
      <c r="M4" s="23" t="s">
        <v>339</v>
      </c>
      <c r="N4" s="23"/>
      <c r="O4" s="1" t="s">
        <v>38</v>
      </c>
    </row>
    <row r="5" spans="1:15" x14ac:dyDescent="0.25">
      <c r="A5" s="23" t="s">
        <v>129</v>
      </c>
      <c r="B5" s="23" t="s">
        <v>21</v>
      </c>
      <c r="C5" s="24" t="s">
        <v>126</v>
      </c>
      <c r="D5" s="23" t="s">
        <v>19</v>
      </c>
      <c r="E5" s="23" t="s">
        <v>20</v>
      </c>
      <c r="F5" s="23" t="s">
        <v>130</v>
      </c>
      <c r="G5" s="23" t="s">
        <v>131</v>
      </c>
      <c r="H5" s="23" t="s">
        <v>132</v>
      </c>
      <c r="I5" s="23" t="s">
        <v>22</v>
      </c>
      <c r="J5" s="23"/>
      <c r="K5" s="23" t="s">
        <v>2</v>
      </c>
      <c r="L5" s="23" t="s">
        <v>25</v>
      </c>
      <c r="M5" s="25" t="s">
        <v>133</v>
      </c>
      <c r="N5" s="23"/>
      <c r="O5" s="1" t="s">
        <v>38</v>
      </c>
    </row>
    <row r="6" spans="1:15" x14ac:dyDescent="0.25">
      <c r="A6" s="23" t="s">
        <v>134</v>
      </c>
      <c r="B6" s="23" t="s">
        <v>33</v>
      </c>
      <c r="C6" s="24" t="s">
        <v>135</v>
      </c>
      <c r="D6" s="23" t="s">
        <v>14</v>
      </c>
      <c r="E6" s="23" t="s">
        <v>34</v>
      </c>
      <c r="F6" s="23" t="s">
        <v>653</v>
      </c>
      <c r="G6" s="23" t="s">
        <v>654</v>
      </c>
      <c r="H6" s="23" t="s">
        <v>136</v>
      </c>
      <c r="I6" s="23" t="s">
        <v>22</v>
      </c>
      <c r="J6" s="23"/>
      <c r="K6" s="23" t="s">
        <v>2</v>
      </c>
      <c r="L6" s="23" t="s">
        <v>35</v>
      </c>
      <c r="M6" s="23" t="s">
        <v>339</v>
      </c>
      <c r="N6" s="23"/>
      <c r="O6" s="1" t="s">
        <v>38</v>
      </c>
    </row>
    <row r="7" spans="1:15" x14ac:dyDescent="0.25">
      <c r="A7" s="23" t="s">
        <v>137</v>
      </c>
      <c r="B7" s="23" t="s">
        <v>13</v>
      </c>
      <c r="C7" s="24" t="s">
        <v>138</v>
      </c>
      <c r="D7" s="23" t="s">
        <v>14</v>
      </c>
      <c r="E7" s="23" t="s">
        <v>15</v>
      </c>
      <c r="F7" s="23" t="s">
        <v>655</v>
      </c>
      <c r="G7" s="23" t="s">
        <v>656</v>
      </c>
      <c r="H7" s="23" t="s">
        <v>139</v>
      </c>
      <c r="I7" s="23" t="s">
        <v>16</v>
      </c>
      <c r="J7" s="23"/>
      <c r="K7" s="23" t="s">
        <v>1</v>
      </c>
      <c r="L7" s="23" t="s">
        <v>17</v>
      </c>
      <c r="M7" s="23" t="s">
        <v>339</v>
      </c>
      <c r="N7" s="23"/>
      <c r="O7" s="1" t="s">
        <v>38</v>
      </c>
    </row>
    <row r="8" spans="1:15" x14ac:dyDescent="0.25">
      <c r="A8" s="23" t="s">
        <v>140</v>
      </c>
      <c r="B8" s="23" t="s">
        <v>18</v>
      </c>
      <c r="C8" s="24" t="s">
        <v>138</v>
      </c>
      <c r="D8" s="23" t="s">
        <v>19</v>
      </c>
      <c r="E8" s="23" t="s">
        <v>20</v>
      </c>
      <c r="F8" s="23" t="s">
        <v>141</v>
      </c>
      <c r="G8" s="23" t="s">
        <v>657</v>
      </c>
      <c r="H8" s="23" t="s">
        <v>142</v>
      </c>
      <c r="I8" s="23" t="s">
        <v>16</v>
      </c>
      <c r="J8" s="23"/>
      <c r="K8" s="23" t="s">
        <v>2</v>
      </c>
      <c r="L8" s="23" t="s">
        <v>17</v>
      </c>
      <c r="M8" s="23" t="s">
        <v>339</v>
      </c>
      <c r="N8" s="23"/>
      <c r="O8" s="1" t="s">
        <v>38</v>
      </c>
    </row>
    <row r="9" spans="1:15" x14ac:dyDescent="0.25">
      <c r="A9" s="23" t="s">
        <v>143</v>
      </c>
      <c r="B9" s="23" t="s">
        <v>26</v>
      </c>
      <c r="C9" s="24" t="s">
        <v>144</v>
      </c>
      <c r="D9" s="23" t="s">
        <v>14</v>
      </c>
      <c r="E9" s="23" t="s">
        <v>27</v>
      </c>
      <c r="F9" s="23" t="s">
        <v>658</v>
      </c>
      <c r="G9" s="23" t="s">
        <v>145</v>
      </c>
      <c r="H9" s="23" t="s">
        <v>146</v>
      </c>
      <c r="I9" s="23" t="s">
        <v>23</v>
      </c>
      <c r="J9" s="23" t="s">
        <v>147</v>
      </c>
      <c r="K9" s="23" t="s">
        <v>11</v>
      </c>
      <c r="L9" s="23" t="s">
        <v>28</v>
      </c>
      <c r="M9" s="23" t="s">
        <v>148</v>
      </c>
      <c r="N9" s="23"/>
      <c r="O9" s="1" t="s">
        <v>38</v>
      </c>
    </row>
    <row r="10" spans="1:15" x14ac:dyDescent="0.25">
      <c r="A10" s="23" t="s">
        <v>149</v>
      </c>
      <c r="B10" s="23" t="s">
        <v>31</v>
      </c>
      <c r="C10" s="24" t="s">
        <v>144</v>
      </c>
      <c r="D10" s="23" t="s">
        <v>19</v>
      </c>
      <c r="E10" s="23" t="s">
        <v>20</v>
      </c>
      <c r="F10" s="23" t="s">
        <v>150</v>
      </c>
      <c r="G10" s="23" t="s">
        <v>151</v>
      </c>
      <c r="H10" s="23" t="s">
        <v>152</v>
      </c>
      <c r="I10" s="23" t="s">
        <v>32</v>
      </c>
      <c r="J10" s="23" t="s">
        <v>153</v>
      </c>
      <c r="K10" s="23" t="s">
        <v>11</v>
      </c>
      <c r="L10" s="23" t="s">
        <v>23</v>
      </c>
      <c r="M10" s="23" t="s">
        <v>154</v>
      </c>
      <c r="N10" s="23"/>
      <c r="O10" s="1" t="s">
        <v>38</v>
      </c>
    </row>
    <row r="11" spans="1:15" x14ac:dyDescent="0.25">
      <c r="A11" s="23" t="s">
        <v>155</v>
      </c>
      <c r="B11" s="23" t="s">
        <v>36</v>
      </c>
      <c r="C11" s="24" t="s">
        <v>156</v>
      </c>
      <c r="D11" s="23" t="s">
        <v>14</v>
      </c>
      <c r="E11" s="23" t="s">
        <v>20</v>
      </c>
      <c r="F11" s="23" t="s">
        <v>659</v>
      </c>
      <c r="G11" s="23" t="s">
        <v>157</v>
      </c>
      <c r="H11" s="23" t="s">
        <v>158</v>
      </c>
      <c r="I11" s="23" t="s">
        <v>32</v>
      </c>
      <c r="J11" s="23" t="s">
        <v>159</v>
      </c>
      <c r="K11" s="23" t="s">
        <v>0</v>
      </c>
      <c r="L11" s="23" t="s">
        <v>37</v>
      </c>
      <c r="M11" s="25" t="s">
        <v>344</v>
      </c>
      <c r="N11" s="23" t="s">
        <v>160</v>
      </c>
      <c r="O11" s="1" t="s">
        <v>38</v>
      </c>
    </row>
    <row r="12" spans="1:15" x14ac:dyDescent="0.25">
      <c r="A12" s="23" t="s">
        <v>161</v>
      </c>
      <c r="B12" s="23" t="s">
        <v>18</v>
      </c>
      <c r="C12" s="24" t="s">
        <v>156</v>
      </c>
      <c r="D12" s="23" t="s">
        <v>14</v>
      </c>
      <c r="E12" s="23" t="s">
        <v>15</v>
      </c>
      <c r="F12" s="23" t="s">
        <v>162</v>
      </c>
      <c r="G12" s="23" t="s">
        <v>163</v>
      </c>
      <c r="H12" s="23" t="s">
        <v>164</v>
      </c>
      <c r="I12" s="23" t="s">
        <v>22</v>
      </c>
      <c r="J12" s="23" t="s">
        <v>165</v>
      </c>
      <c r="K12" s="23" t="s">
        <v>0</v>
      </c>
      <c r="L12" s="23" t="s">
        <v>39</v>
      </c>
      <c r="M12" s="23" t="s">
        <v>339</v>
      </c>
      <c r="N12" s="23" t="s">
        <v>166</v>
      </c>
      <c r="O12" s="1" t="s">
        <v>38</v>
      </c>
    </row>
    <row r="13" spans="1:15" ht="102" x14ac:dyDescent="0.25">
      <c r="A13" s="23" t="s">
        <v>167</v>
      </c>
      <c r="B13" s="23" t="s">
        <v>40</v>
      </c>
      <c r="C13" s="24" t="s">
        <v>156</v>
      </c>
      <c r="D13" s="23" t="s">
        <v>14</v>
      </c>
      <c r="E13" s="23" t="s">
        <v>15</v>
      </c>
      <c r="F13" s="23" t="s">
        <v>168</v>
      </c>
      <c r="G13" s="26" t="s">
        <v>660</v>
      </c>
      <c r="H13" s="23" t="s">
        <v>169</v>
      </c>
      <c r="I13" s="23" t="s">
        <v>22</v>
      </c>
      <c r="J13" s="23" t="s">
        <v>170</v>
      </c>
      <c r="K13" s="23" t="s">
        <v>0</v>
      </c>
      <c r="L13" s="23" t="s">
        <v>23</v>
      </c>
      <c r="M13" s="23" t="s">
        <v>339</v>
      </c>
      <c r="N13" s="23" t="s">
        <v>171</v>
      </c>
      <c r="O13" s="1" t="s">
        <v>38</v>
      </c>
    </row>
    <row r="14" spans="1:15" x14ac:dyDescent="0.25">
      <c r="A14" s="23" t="s">
        <v>172</v>
      </c>
      <c r="B14" s="23" t="s">
        <v>41</v>
      </c>
      <c r="C14" s="24" t="s">
        <v>173</v>
      </c>
      <c r="D14" s="23" t="s">
        <v>14</v>
      </c>
      <c r="E14" s="23" t="s">
        <v>15</v>
      </c>
      <c r="F14" s="23" t="s">
        <v>661</v>
      </c>
      <c r="G14" s="23" t="s">
        <v>174</v>
      </c>
      <c r="H14" s="23" t="s">
        <v>175</v>
      </c>
      <c r="I14" s="23" t="s">
        <v>22</v>
      </c>
      <c r="J14" s="23" t="s">
        <v>176</v>
      </c>
      <c r="K14" s="23" t="s">
        <v>0</v>
      </c>
      <c r="L14" s="23" t="s">
        <v>28</v>
      </c>
      <c r="M14" s="23" t="s">
        <v>339</v>
      </c>
      <c r="N14" s="23" t="s">
        <v>177</v>
      </c>
      <c r="O14" s="1" t="s">
        <v>38</v>
      </c>
    </row>
    <row r="15" spans="1:15" x14ac:dyDescent="0.25">
      <c r="A15" s="23" t="s">
        <v>178</v>
      </c>
      <c r="B15" s="23" t="s">
        <v>42</v>
      </c>
      <c r="C15" s="24" t="s">
        <v>173</v>
      </c>
      <c r="D15" s="23" t="s">
        <v>14</v>
      </c>
      <c r="E15" s="23" t="s">
        <v>34</v>
      </c>
      <c r="F15" s="23" t="s">
        <v>179</v>
      </c>
      <c r="G15" s="23" t="s">
        <v>180</v>
      </c>
      <c r="H15" s="23" t="s">
        <v>181</v>
      </c>
      <c r="I15" s="23" t="s">
        <v>22</v>
      </c>
      <c r="J15" s="23"/>
      <c r="K15" s="23" t="s">
        <v>2</v>
      </c>
      <c r="L15" s="23" t="s">
        <v>35</v>
      </c>
      <c r="M15" s="23" t="s">
        <v>339</v>
      </c>
      <c r="N15" s="23"/>
      <c r="O15" s="1" t="s">
        <v>38</v>
      </c>
    </row>
    <row r="16" spans="1:15" x14ac:dyDescent="0.25">
      <c r="A16" s="23" t="s">
        <v>182</v>
      </c>
      <c r="B16" s="23" t="s">
        <v>41</v>
      </c>
      <c r="C16" s="24" t="s">
        <v>173</v>
      </c>
      <c r="D16" s="23" t="s">
        <v>14</v>
      </c>
      <c r="E16" s="23" t="s">
        <v>34</v>
      </c>
      <c r="F16" s="23" t="s">
        <v>183</v>
      </c>
      <c r="G16" s="23" t="s">
        <v>662</v>
      </c>
      <c r="H16" s="23" t="s">
        <v>184</v>
      </c>
      <c r="I16" s="23" t="s">
        <v>23</v>
      </c>
      <c r="J16" s="23"/>
      <c r="K16" s="23" t="s">
        <v>2</v>
      </c>
      <c r="L16" s="23" t="s">
        <v>39</v>
      </c>
      <c r="M16" s="25" t="s">
        <v>345</v>
      </c>
      <c r="N16" s="23"/>
      <c r="O16" s="1" t="s">
        <v>38</v>
      </c>
    </row>
    <row r="17" spans="1:15" x14ac:dyDescent="0.25">
      <c r="A17" s="23" t="s">
        <v>185</v>
      </c>
      <c r="B17" s="23" t="s">
        <v>41</v>
      </c>
      <c r="C17" s="24" t="s">
        <v>173</v>
      </c>
      <c r="D17" s="23" t="s">
        <v>14</v>
      </c>
      <c r="E17" s="23" t="s">
        <v>44</v>
      </c>
      <c r="F17" s="23" t="s">
        <v>663</v>
      </c>
      <c r="G17" s="23" t="s">
        <v>186</v>
      </c>
      <c r="H17" s="23" t="s">
        <v>187</v>
      </c>
      <c r="I17" s="23" t="s">
        <v>22</v>
      </c>
      <c r="J17" s="23"/>
      <c r="K17" s="23" t="s">
        <v>2</v>
      </c>
      <c r="L17" s="23" t="s">
        <v>43</v>
      </c>
      <c r="M17" s="25" t="s">
        <v>346</v>
      </c>
      <c r="N17" s="23"/>
      <c r="O17" s="1" t="s">
        <v>38</v>
      </c>
    </row>
    <row r="18" spans="1:15" x14ac:dyDescent="0.25">
      <c r="A18" s="23" t="s">
        <v>188</v>
      </c>
      <c r="B18" s="23" t="s">
        <v>45</v>
      </c>
      <c r="C18" s="24" t="s">
        <v>173</v>
      </c>
      <c r="D18" s="23" t="s">
        <v>19</v>
      </c>
      <c r="E18" s="23" t="s">
        <v>46</v>
      </c>
      <c r="F18" s="23" t="s">
        <v>189</v>
      </c>
      <c r="G18" s="23" t="s">
        <v>190</v>
      </c>
      <c r="H18" s="23" t="s">
        <v>191</v>
      </c>
      <c r="I18" s="23" t="s">
        <v>32</v>
      </c>
      <c r="J18" s="23" t="s">
        <v>192</v>
      </c>
      <c r="K18" s="23" t="s">
        <v>0</v>
      </c>
      <c r="L18" s="23" t="s">
        <v>43</v>
      </c>
      <c r="M18" s="25" t="s">
        <v>347</v>
      </c>
      <c r="N18" s="23" t="s">
        <v>193</v>
      </c>
      <c r="O18" s="1" t="s">
        <v>38</v>
      </c>
    </row>
    <row r="19" spans="1:15" ht="135.75" x14ac:dyDescent="0.25">
      <c r="A19" s="23" t="s">
        <v>194</v>
      </c>
      <c r="B19" s="23" t="s">
        <v>33</v>
      </c>
      <c r="C19" s="24" t="s">
        <v>173</v>
      </c>
      <c r="D19" s="23" t="s">
        <v>14</v>
      </c>
      <c r="E19" s="23" t="s">
        <v>15</v>
      </c>
      <c r="F19" s="23" t="s">
        <v>195</v>
      </c>
      <c r="G19" s="26" t="s">
        <v>664</v>
      </c>
      <c r="H19" s="23" t="s">
        <v>196</v>
      </c>
      <c r="I19" s="23" t="s">
        <v>22</v>
      </c>
      <c r="J19" s="23" t="s">
        <v>197</v>
      </c>
      <c r="K19" s="23" t="s">
        <v>1</v>
      </c>
      <c r="L19" s="23" t="s">
        <v>52</v>
      </c>
      <c r="M19" s="23" t="s">
        <v>339</v>
      </c>
      <c r="N19" s="23"/>
      <c r="O19" s="1" t="s">
        <v>38</v>
      </c>
    </row>
    <row r="20" spans="1:15" ht="135.75" x14ac:dyDescent="0.25">
      <c r="A20" s="23" t="s">
        <v>194</v>
      </c>
      <c r="B20" s="23" t="s">
        <v>33</v>
      </c>
      <c r="C20" s="24" t="s">
        <v>173</v>
      </c>
      <c r="D20" s="23" t="s">
        <v>14</v>
      </c>
      <c r="E20" s="23" t="s">
        <v>15</v>
      </c>
      <c r="F20" s="23" t="s">
        <v>198</v>
      </c>
      <c r="G20" s="26" t="s">
        <v>665</v>
      </c>
      <c r="H20" s="23" t="s">
        <v>199</v>
      </c>
      <c r="I20" s="23" t="s">
        <v>22</v>
      </c>
      <c r="J20" s="23" t="s">
        <v>200</v>
      </c>
      <c r="K20" s="23" t="s">
        <v>1</v>
      </c>
      <c r="L20" s="23" t="s">
        <v>53</v>
      </c>
      <c r="M20" s="23" t="s">
        <v>339</v>
      </c>
      <c r="N20" s="23"/>
      <c r="O20" s="1" t="s">
        <v>38</v>
      </c>
    </row>
    <row r="21" spans="1:15" x14ac:dyDescent="0.25">
      <c r="A21" s="23" t="s">
        <v>201</v>
      </c>
      <c r="B21" s="23" t="s">
        <v>47</v>
      </c>
      <c r="C21" s="24" t="s">
        <v>202</v>
      </c>
      <c r="D21" s="23" t="s">
        <v>14</v>
      </c>
      <c r="E21" s="23" t="s">
        <v>48</v>
      </c>
      <c r="F21" s="23" t="s">
        <v>203</v>
      </c>
      <c r="G21" s="23" t="s">
        <v>204</v>
      </c>
      <c r="H21" s="23" t="s">
        <v>205</v>
      </c>
      <c r="I21" s="23" t="s">
        <v>51</v>
      </c>
      <c r="J21" s="23" t="s">
        <v>206</v>
      </c>
      <c r="K21" s="23" t="s">
        <v>5</v>
      </c>
      <c r="L21" s="23" t="s">
        <v>43</v>
      </c>
      <c r="M21" s="23" t="s">
        <v>339</v>
      </c>
      <c r="N21" s="23" t="s">
        <v>207</v>
      </c>
      <c r="O21" s="1" t="s">
        <v>38</v>
      </c>
    </row>
    <row r="22" spans="1:15" x14ac:dyDescent="0.25">
      <c r="A22" s="23" t="s">
        <v>208</v>
      </c>
      <c r="B22" s="23" t="s">
        <v>13</v>
      </c>
      <c r="C22" s="24" t="s">
        <v>202</v>
      </c>
      <c r="D22" s="23" t="s">
        <v>14</v>
      </c>
      <c r="E22" s="23" t="s">
        <v>23</v>
      </c>
      <c r="F22" s="23" t="s">
        <v>209</v>
      </c>
      <c r="G22" s="23" t="s">
        <v>210</v>
      </c>
      <c r="H22" s="23" t="s">
        <v>211</v>
      </c>
      <c r="I22" s="23" t="s">
        <v>32</v>
      </c>
      <c r="J22" s="23" t="s">
        <v>212</v>
      </c>
      <c r="K22" s="23" t="s">
        <v>0</v>
      </c>
      <c r="L22" s="23" t="s">
        <v>43</v>
      </c>
      <c r="M22" s="23" t="s">
        <v>339</v>
      </c>
      <c r="N22" s="23" t="s">
        <v>213</v>
      </c>
      <c r="O22" s="1" t="s">
        <v>38</v>
      </c>
    </row>
    <row r="23" spans="1:15" x14ac:dyDescent="0.25">
      <c r="A23" s="23" t="s">
        <v>214</v>
      </c>
      <c r="B23" s="23" t="s">
        <v>49</v>
      </c>
      <c r="C23" s="24" t="s">
        <v>202</v>
      </c>
      <c r="D23" s="23" t="s">
        <v>19</v>
      </c>
      <c r="E23" s="23" t="s">
        <v>50</v>
      </c>
      <c r="F23" s="23" t="s">
        <v>215</v>
      </c>
      <c r="G23" s="23" t="s">
        <v>666</v>
      </c>
      <c r="H23" s="23" t="s">
        <v>216</v>
      </c>
      <c r="I23" s="23" t="s">
        <v>30</v>
      </c>
      <c r="J23" s="23" t="s">
        <v>217</v>
      </c>
      <c r="K23" s="23" t="s">
        <v>5</v>
      </c>
      <c r="L23" s="23" t="s">
        <v>17</v>
      </c>
      <c r="M23" s="23" t="s">
        <v>340</v>
      </c>
      <c r="N23" s="23"/>
      <c r="O23" s="1" t="s">
        <v>38</v>
      </c>
    </row>
    <row r="24" spans="1:15" ht="409.6" x14ac:dyDescent="0.25">
      <c r="A24" s="23" t="s">
        <v>218</v>
      </c>
      <c r="B24" s="23" t="s">
        <v>42</v>
      </c>
      <c r="C24" s="24" t="s">
        <v>202</v>
      </c>
      <c r="D24" s="23" t="s">
        <v>23</v>
      </c>
      <c r="E24" s="23" t="s">
        <v>46</v>
      </c>
      <c r="F24" s="23" t="s">
        <v>219</v>
      </c>
      <c r="G24" s="26" t="s">
        <v>667</v>
      </c>
      <c r="H24" s="23" t="s">
        <v>220</v>
      </c>
      <c r="I24" s="23" t="s">
        <v>22</v>
      </c>
      <c r="J24" s="23" t="s">
        <v>221</v>
      </c>
      <c r="K24" s="23" t="s">
        <v>11</v>
      </c>
      <c r="L24" s="23" t="s">
        <v>54</v>
      </c>
      <c r="M24" s="23" t="s">
        <v>339</v>
      </c>
      <c r="N24" s="23"/>
      <c r="O24" s="1" t="s">
        <v>38</v>
      </c>
    </row>
    <row r="25" spans="1:15" ht="409.6" x14ac:dyDescent="0.25">
      <c r="A25" s="23" t="s">
        <v>222</v>
      </c>
      <c r="B25" s="23" t="s">
        <v>47</v>
      </c>
      <c r="C25" s="24" t="s">
        <v>202</v>
      </c>
      <c r="D25" s="23" t="s">
        <v>14</v>
      </c>
      <c r="E25" s="23" t="s">
        <v>46</v>
      </c>
      <c r="F25" s="23" t="s">
        <v>223</v>
      </c>
      <c r="G25" s="26" t="s">
        <v>668</v>
      </c>
      <c r="H25" s="23" t="s">
        <v>224</v>
      </c>
      <c r="I25" s="23" t="s">
        <v>22</v>
      </c>
      <c r="J25" s="23" t="s">
        <v>225</v>
      </c>
      <c r="K25" s="23" t="s">
        <v>11</v>
      </c>
      <c r="L25" s="23" t="s">
        <v>43</v>
      </c>
      <c r="M25" s="23" t="s">
        <v>339</v>
      </c>
      <c r="N25" s="23"/>
      <c r="O25" s="1" t="s">
        <v>38</v>
      </c>
    </row>
    <row r="26" spans="1:15" x14ac:dyDescent="0.25">
      <c r="A26" s="23" t="s">
        <v>226</v>
      </c>
      <c r="B26" s="23" t="s">
        <v>49</v>
      </c>
      <c r="C26" s="24" t="s">
        <v>227</v>
      </c>
      <c r="D26" s="23" t="s">
        <v>14</v>
      </c>
      <c r="E26" s="23" t="s">
        <v>44</v>
      </c>
      <c r="F26" s="23" t="s">
        <v>228</v>
      </c>
      <c r="G26" s="23" t="s">
        <v>669</v>
      </c>
      <c r="H26" s="23" t="s">
        <v>229</v>
      </c>
      <c r="I26" s="23" t="s">
        <v>23</v>
      </c>
      <c r="J26" s="23" t="s">
        <v>230</v>
      </c>
      <c r="K26" s="23" t="s">
        <v>5</v>
      </c>
      <c r="L26" s="23" t="s">
        <v>25</v>
      </c>
      <c r="M26" s="23" t="s">
        <v>339</v>
      </c>
      <c r="N26" s="23"/>
      <c r="O26" s="1" t="s">
        <v>38</v>
      </c>
    </row>
    <row r="27" spans="1:15" x14ac:dyDescent="0.25">
      <c r="A27" s="23" t="s">
        <v>231</v>
      </c>
      <c r="B27" s="23" t="s">
        <v>49</v>
      </c>
      <c r="C27" s="24" t="s">
        <v>227</v>
      </c>
      <c r="D27" s="23" t="s">
        <v>14</v>
      </c>
      <c r="E27" s="23" t="s">
        <v>55</v>
      </c>
      <c r="F27" s="23" t="s">
        <v>232</v>
      </c>
      <c r="G27" s="23" t="s">
        <v>233</v>
      </c>
      <c r="H27" s="23" t="s">
        <v>229</v>
      </c>
      <c r="I27" s="23" t="s">
        <v>23</v>
      </c>
      <c r="J27" s="23" t="s">
        <v>234</v>
      </c>
      <c r="K27" s="23" t="s">
        <v>5</v>
      </c>
      <c r="L27" s="23" t="s">
        <v>25</v>
      </c>
      <c r="M27" s="25" t="s">
        <v>341</v>
      </c>
      <c r="N27" s="23" t="s">
        <v>235</v>
      </c>
      <c r="O27" s="1" t="s">
        <v>38</v>
      </c>
    </row>
    <row r="28" spans="1:15" x14ac:dyDescent="0.25">
      <c r="A28" s="23" t="s">
        <v>236</v>
      </c>
      <c r="B28" s="23" t="s">
        <v>13</v>
      </c>
      <c r="C28" s="24" t="s">
        <v>237</v>
      </c>
      <c r="D28" s="23" t="s">
        <v>14</v>
      </c>
      <c r="E28" s="23" t="s">
        <v>46</v>
      </c>
      <c r="F28" s="23" t="s">
        <v>670</v>
      </c>
      <c r="G28" s="23" t="s">
        <v>671</v>
      </c>
      <c r="H28" s="23" t="s">
        <v>238</v>
      </c>
      <c r="I28" s="23" t="s">
        <v>22</v>
      </c>
      <c r="J28" s="23"/>
      <c r="K28" s="23" t="s">
        <v>1</v>
      </c>
      <c r="L28" s="23" t="s">
        <v>56</v>
      </c>
      <c r="M28" s="23" t="s">
        <v>339</v>
      </c>
      <c r="N28" s="23"/>
      <c r="O28" s="1" t="s">
        <v>38</v>
      </c>
    </row>
    <row r="29" spans="1:15" x14ac:dyDescent="0.25">
      <c r="A29" s="23" t="s">
        <v>239</v>
      </c>
      <c r="B29" s="23" t="s">
        <v>18</v>
      </c>
      <c r="C29" s="24" t="s">
        <v>240</v>
      </c>
      <c r="D29" s="23" t="s">
        <v>19</v>
      </c>
      <c r="E29" s="23" t="s">
        <v>57</v>
      </c>
      <c r="F29" s="23" t="s">
        <v>241</v>
      </c>
      <c r="G29" s="23" t="s">
        <v>242</v>
      </c>
      <c r="H29" s="23" t="s">
        <v>243</v>
      </c>
      <c r="I29" s="23" t="s">
        <v>22</v>
      </c>
      <c r="J29" s="23" t="s">
        <v>244</v>
      </c>
      <c r="K29" s="23" t="s">
        <v>0</v>
      </c>
      <c r="L29" s="23" t="s">
        <v>43</v>
      </c>
      <c r="M29" s="23" t="s">
        <v>339</v>
      </c>
      <c r="N29" s="23"/>
      <c r="O29" s="1" t="s">
        <v>38</v>
      </c>
    </row>
    <row r="30" spans="1:15" x14ac:dyDescent="0.25">
      <c r="A30" s="23" t="s">
        <v>245</v>
      </c>
      <c r="B30" s="23" t="s">
        <v>47</v>
      </c>
      <c r="C30" s="24" t="s">
        <v>240</v>
      </c>
      <c r="D30" s="23" t="s">
        <v>19</v>
      </c>
      <c r="E30" s="23" t="s">
        <v>57</v>
      </c>
      <c r="F30" s="23" t="s">
        <v>246</v>
      </c>
      <c r="G30" s="23" t="s">
        <v>672</v>
      </c>
      <c r="H30" s="23" t="s">
        <v>247</v>
      </c>
      <c r="I30" s="23" t="s">
        <v>32</v>
      </c>
      <c r="J30" s="23"/>
      <c r="K30" s="23" t="s">
        <v>0</v>
      </c>
      <c r="L30" s="23" t="s">
        <v>43</v>
      </c>
      <c r="M30" s="25" t="s">
        <v>342</v>
      </c>
      <c r="N30" s="23" t="s">
        <v>248</v>
      </c>
      <c r="O30" s="1" t="s">
        <v>38</v>
      </c>
    </row>
    <row r="31" spans="1:15" x14ac:dyDescent="0.25">
      <c r="A31" s="23" t="s">
        <v>249</v>
      </c>
      <c r="B31" s="23" t="s">
        <v>18</v>
      </c>
      <c r="C31" s="24" t="s">
        <v>250</v>
      </c>
      <c r="D31" s="23" t="s">
        <v>19</v>
      </c>
      <c r="E31" s="23" t="s">
        <v>57</v>
      </c>
      <c r="F31" s="23" t="s">
        <v>251</v>
      </c>
      <c r="G31" s="23" t="s">
        <v>252</v>
      </c>
      <c r="H31" s="23" t="s">
        <v>253</v>
      </c>
      <c r="I31" s="23" t="s">
        <v>32</v>
      </c>
      <c r="J31" s="23"/>
      <c r="K31" s="23" t="s">
        <v>0</v>
      </c>
      <c r="L31" s="23" t="s">
        <v>43</v>
      </c>
      <c r="M31" s="25" t="s">
        <v>343</v>
      </c>
      <c r="N31" s="23"/>
      <c r="O31" s="1" t="s">
        <v>38</v>
      </c>
    </row>
    <row r="32" spans="1:15" x14ac:dyDescent="0.25">
      <c r="A32" s="23" t="s">
        <v>254</v>
      </c>
      <c r="B32" s="23" t="s">
        <v>58</v>
      </c>
      <c r="C32" s="24" t="s">
        <v>255</v>
      </c>
      <c r="D32" s="23" t="s">
        <v>14</v>
      </c>
      <c r="E32" s="23" t="s">
        <v>46</v>
      </c>
      <c r="F32" s="23" t="s">
        <v>673</v>
      </c>
      <c r="G32" s="23" t="s">
        <v>674</v>
      </c>
      <c r="H32" s="23" t="s">
        <v>256</v>
      </c>
      <c r="I32" s="23" t="s">
        <v>22</v>
      </c>
      <c r="J32" s="23"/>
      <c r="K32" s="23" t="s">
        <v>0</v>
      </c>
      <c r="L32" s="23" t="s">
        <v>25</v>
      </c>
      <c r="M32" s="23" t="s">
        <v>339</v>
      </c>
      <c r="N32" s="23"/>
      <c r="O32" s="1" t="s">
        <v>38</v>
      </c>
    </row>
    <row r="33" spans="1:15" x14ac:dyDescent="0.25">
      <c r="A33" s="23" t="s">
        <v>257</v>
      </c>
      <c r="B33" s="23" t="s">
        <v>45</v>
      </c>
      <c r="C33" s="24" t="s">
        <v>258</v>
      </c>
      <c r="D33" s="23" t="s">
        <v>14</v>
      </c>
      <c r="E33" s="23" t="s">
        <v>55</v>
      </c>
      <c r="F33" s="23" t="s">
        <v>675</v>
      </c>
      <c r="G33" s="23" t="s">
        <v>259</v>
      </c>
      <c r="H33" s="23" t="s">
        <v>260</v>
      </c>
      <c r="I33" s="23" t="s">
        <v>22</v>
      </c>
      <c r="J33" s="23" t="s">
        <v>261</v>
      </c>
      <c r="K33" s="23" t="s">
        <v>2</v>
      </c>
      <c r="L33" s="23" t="s">
        <v>25</v>
      </c>
      <c r="M33" s="23" t="s">
        <v>339</v>
      </c>
      <c r="N33" s="23"/>
      <c r="O33" s="1" t="s">
        <v>38</v>
      </c>
    </row>
    <row r="34" spans="1:15" x14ac:dyDescent="0.25">
      <c r="A34" s="23" t="s">
        <v>262</v>
      </c>
      <c r="B34" s="23" t="s">
        <v>59</v>
      </c>
      <c r="C34" s="24" t="s">
        <v>263</v>
      </c>
      <c r="D34" s="23" t="s">
        <v>19</v>
      </c>
      <c r="E34" s="23" t="s">
        <v>20</v>
      </c>
      <c r="F34" s="23" t="s">
        <v>264</v>
      </c>
      <c r="G34" s="23" t="s">
        <v>265</v>
      </c>
      <c r="H34" s="23" t="s">
        <v>266</v>
      </c>
      <c r="I34" s="23" t="s">
        <v>23</v>
      </c>
      <c r="J34" s="23"/>
      <c r="K34" s="23" t="s">
        <v>2</v>
      </c>
      <c r="L34" s="23" t="s">
        <v>23</v>
      </c>
      <c r="M34" s="23" t="s">
        <v>339</v>
      </c>
      <c r="N34" s="23" t="s">
        <v>267</v>
      </c>
      <c r="O34" s="1" t="s">
        <v>38</v>
      </c>
    </row>
    <row r="35" spans="1:15" x14ac:dyDescent="0.25">
      <c r="A35" s="23" t="s">
        <v>268</v>
      </c>
      <c r="B35" s="23" t="s">
        <v>18</v>
      </c>
      <c r="C35" s="24" t="s">
        <v>269</v>
      </c>
      <c r="D35" s="23" t="s">
        <v>14</v>
      </c>
      <c r="E35" s="23" t="s">
        <v>20</v>
      </c>
      <c r="F35" s="23" t="s">
        <v>270</v>
      </c>
      <c r="G35" s="23" t="s">
        <v>271</v>
      </c>
      <c r="H35" s="23" t="s">
        <v>272</v>
      </c>
      <c r="I35" s="23" t="s">
        <v>22</v>
      </c>
      <c r="J35" s="23"/>
      <c r="K35" s="23" t="s">
        <v>0</v>
      </c>
      <c r="L35" s="23" t="s">
        <v>43</v>
      </c>
      <c r="M35" s="23" t="s">
        <v>339</v>
      </c>
      <c r="N35" s="23"/>
      <c r="O35" s="1" t="s">
        <v>38</v>
      </c>
    </row>
    <row r="36" spans="1:15" x14ac:dyDescent="0.25">
      <c r="A36" s="23" t="s">
        <v>273</v>
      </c>
      <c r="B36" s="23" t="s">
        <v>90</v>
      </c>
      <c r="C36" s="24" t="s">
        <v>269</v>
      </c>
      <c r="D36" s="23" t="s">
        <v>19</v>
      </c>
      <c r="E36" s="23" t="s">
        <v>23</v>
      </c>
      <c r="F36" s="23" t="s">
        <v>274</v>
      </c>
      <c r="G36" s="23" t="s">
        <v>676</v>
      </c>
      <c r="H36" s="23" t="s">
        <v>275</v>
      </c>
      <c r="I36" s="23" t="s">
        <v>275</v>
      </c>
      <c r="J36" s="23" t="s">
        <v>276</v>
      </c>
      <c r="K36" s="23" t="s">
        <v>2</v>
      </c>
      <c r="L36" s="23" t="s">
        <v>275</v>
      </c>
      <c r="M36" s="23" t="s">
        <v>339</v>
      </c>
      <c r="N36" s="23" t="s">
        <v>275</v>
      </c>
      <c r="O36" s="1" t="s">
        <v>38</v>
      </c>
    </row>
    <row r="37" spans="1:15" x14ac:dyDescent="0.25">
      <c r="A37" s="23" t="s">
        <v>277</v>
      </c>
      <c r="B37" s="23" t="s">
        <v>24</v>
      </c>
      <c r="C37" s="24" t="s">
        <v>278</v>
      </c>
      <c r="D37" s="23" t="s">
        <v>14</v>
      </c>
      <c r="E37" s="23" t="s">
        <v>81</v>
      </c>
      <c r="F37" s="23" t="s">
        <v>279</v>
      </c>
      <c r="G37" s="23" t="s">
        <v>677</v>
      </c>
      <c r="H37" s="23" t="s">
        <v>280</v>
      </c>
      <c r="I37" s="23" t="s">
        <v>22</v>
      </c>
      <c r="J37" s="23"/>
      <c r="K37" s="23" t="s">
        <v>2</v>
      </c>
      <c r="L37" s="23" t="s">
        <v>39</v>
      </c>
      <c r="M37" s="23" t="s">
        <v>348</v>
      </c>
      <c r="N37" s="23"/>
      <c r="O37" s="1" t="s">
        <v>38</v>
      </c>
    </row>
    <row r="38" spans="1:15" x14ac:dyDescent="0.25">
      <c r="A38" s="23" t="s">
        <v>281</v>
      </c>
      <c r="B38" s="23" t="s">
        <v>47</v>
      </c>
      <c r="C38" s="24" t="s">
        <v>278</v>
      </c>
      <c r="D38" s="23" t="s">
        <v>14</v>
      </c>
      <c r="E38" s="23" t="s">
        <v>15</v>
      </c>
      <c r="F38" s="23" t="s">
        <v>282</v>
      </c>
      <c r="G38" s="23" t="s">
        <v>678</v>
      </c>
      <c r="H38" s="23" t="s">
        <v>283</v>
      </c>
      <c r="I38" s="23" t="s">
        <v>22</v>
      </c>
      <c r="J38" s="23"/>
      <c r="K38" s="23" t="s">
        <v>0</v>
      </c>
      <c r="L38" s="23" t="s">
        <v>25</v>
      </c>
      <c r="M38" s="23" t="s">
        <v>339</v>
      </c>
      <c r="N38" s="23" t="s">
        <v>284</v>
      </c>
      <c r="O38" s="1" t="s">
        <v>38</v>
      </c>
    </row>
    <row r="39" spans="1:15" x14ac:dyDescent="0.25">
      <c r="A39" s="23" t="s">
        <v>285</v>
      </c>
      <c r="B39" s="23" t="s">
        <v>91</v>
      </c>
      <c r="C39" s="24" t="s">
        <v>286</v>
      </c>
      <c r="D39" s="23" t="s">
        <v>14</v>
      </c>
      <c r="E39" s="23" t="s">
        <v>46</v>
      </c>
      <c r="F39" s="23" t="s">
        <v>679</v>
      </c>
      <c r="G39" s="23" t="s">
        <v>287</v>
      </c>
      <c r="H39" s="23" t="s">
        <v>288</v>
      </c>
      <c r="I39" s="23" t="s">
        <v>22</v>
      </c>
      <c r="J39" s="23"/>
      <c r="K39" s="23" t="s">
        <v>2</v>
      </c>
      <c r="L39" s="23" t="s">
        <v>56</v>
      </c>
      <c r="M39" s="23" t="s">
        <v>339</v>
      </c>
      <c r="N39" s="23"/>
      <c r="O39" s="1" t="s">
        <v>38</v>
      </c>
    </row>
    <row r="40" spans="1:15" x14ac:dyDescent="0.25">
      <c r="A40" s="23" t="s">
        <v>289</v>
      </c>
      <c r="B40" s="23" t="s">
        <v>59</v>
      </c>
      <c r="C40" s="24" t="s">
        <v>290</v>
      </c>
      <c r="D40" s="23" t="s">
        <v>14</v>
      </c>
      <c r="E40" s="23" t="s">
        <v>34</v>
      </c>
      <c r="F40" s="23" t="s">
        <v>680</v>
      </c>
      <c r="G40" s="23" t="s">
        <v>681</v>
      </c>
      <c r="H40" s="23"/>
      <c r="I40" s="23"/>
      <c r="J40" s="23"/>
      <c r="K40" s="23" t="s">
        <v>2</v>
      </c>
      <c r="L40" s="23"/>
      <c r="M40" s="23" t="s">
        <v>339</v>
      </c>
      <c r="N40" s="23"/>
      <c r="O40" s="1" t="s">
        <v>38</v>
      </c>
    </row>
    <row r="41" spans="1:15" x14ac:dyDescent="0.25">
      <c r="A41" s="23" t="s">
        <v>291</v>
      </c>
      <c r="B41" s="23" t="s">
        <v>70</v>
      </c>
      <c r="C41" s="24" t="s">
        <v>292</v>
      </c>
      <c r="D41" s="23" t="s">
        <v>14</v>
      </c>
      <c r="E41" s="23" t="s">
        <v>34</v>
      </c>
      <c r="F41" s="23" t="s">
        <v>293</v>
      </c>
      <c r="G41" s="23"/>
      <c r="H41" s="23" t="s">
        <v>294</v>
      </c>
      <c r="I41" s="23" t="s">
        <v>22</v>
      </c>
      <c r="J41" s="23" t="s">
        <v>295</v>
      </c>
      <c r="K41" s="23" t="s">
        <v>5</v>
      </c>
      <c r="L41" s="23" t="s">
        <v>78</v>
      </c>
      <c r="M41" s="23" t="s">
        <v>339</v>
      </c>
      <c r="N41" s="23" t="s">
        <v>296</v>
      </c>
      <c r="O41" s="1" t="s">
        <v>38</v>
      </c>
    </row>
    <row r="42" spans="1:15" s="1" customFormat="1" ht="113.25" x14ac:dyDescent="0.25">
      <c r="A42" s="23" t="s">
        <v>297</v>
      </c>
      <c r="B42" s="23" t="s">
        <v>90</v>
      </c>
      <c r="C42" s="24" t="s">
        <v>290</v>
      </c>
      <c r="D42" s="23" t="s">
        <v>14</v>
      </c>
      <c r="E42" s="23" t="s">
        <v>15</v>
      </c>
      <c r="F42" s="26" t="s">
        <v>682</v>
      </c>
      <c r="G42" s="23" t="s">
        <v>298</v>
      </c>
      <c r="H42" s="23" t="s">
        <v>142</v>
      </c>
      <c r="I42" s="23" t="s">
        <v>22</v>
      </c>
      <c r="J42" s="23"/>
      <c r="K42" s="23" t="s">
        <v>0</v>
      </c>
      <c r="L42" s="23" t="s">
        <v>17</v>
      </c>
      <c r="M42" s="23" t="s">
        <v>339</v>
      </c>
      <c r="N42" s="23" t="s">
        <v>299</v>
      </c>
      <c r="O42" s="1" t="s">
        <v>38</v>
      </c>
    </row>
    <row r="43" spans="1:15" s="1" customFormat="1" x14ac:dyDescent="0.25">
      <c r="A43" s="23" t="s">
        <v>300</v>
      </c>
      <c r="B43" s="23" t="s">
        <v>90</v>
      </c>
      <c r="C43" s="24" t="s">
        <v>290</v>
      </c>
      <c r="D43" s="23" t="s">
        <v>14</v>
      </c>
      <c r="E43" s="23" t="s">
        <v>46</v>
      </c>
      <c r="F43" s="23" t="s">
        <v>683</v>
      </c>
      <c r="G43" s="23" t="s">
        <v>301</v>
      </c>
      <c r="H43" s="23" t="s">
        <v>302</v>
      </c>
      <c r="I43" s="23" t="s">
        <v>22</v>
      </c>
      <c r="J43" s="23"/>
      <c r="K43" s="23" t="s">
        <v>0</v>
      </c>
      <c r="L43" s="23" t="s">
        <v>37</v>
      </c>
      <c r="M43" s="23" t="s">
        <v>339</v>
      </c>
      <c r="N43" s="23" t="s">
        <v>303</v>
      </c>
      <c r="O43" s="1" t="s">
        <v>38</v>
      </c>
    </row>
    <row r="44" spans="1:15" s="1" customFormat="1" ht="135.75" x14ac:dyDescent="0.25">
      <c r="A44" s="23" t="s">
        <v>304</v>
      </c>
      <c r="B44" s="23" t="s">
        <v>90</v>
      </c>
      <c r="C44" s="24" t="s">
        <v>292</v>
      </c>
      <c r="D44" s="23" t="s">
        <v>14</v>
      </c>
      <c r="E44" s="23" t="s">
        <v>15</v>
      </c>
      <c r="F44" s="26" t="s">
        <v>684</v>
      </c>
      <c r="G44" s="23" t="s">
        <v>305</v>
      </c>
      <c r="H44" s="23" t="s">
        <v>142</v>
      </c>
      <c r="I44" s="23" t="s">
        <v>22</v>
      </c>
      <c r="J44" s="23"/>
      <c r="K44" s="23" t="s">
        <v>0</v>
      </c>
      <c r="L44" s="23" t="s">
        <v>17</v>
      </c>
      <c r="M44" s="23" t="s">
        <v>339</v>
      </c>
      <c r="N44" s="23" t="s">
        <v>299</v>
      </c>
      <c r="O44" s="1" t="s">
        <v>38</v>
      </c>
    </row>
    <row r="45" spans="1:15" s="1" customFormat="1" x14ac:dyDescent="0.25">
      <c r="A45" s="23" t="s">
        <v>306</v>
      </c>
      <c r="B45" s="23" t="s">
        <v>90</v>
      </c>
      <c r="C45" s="24" t="s">
        <v>290</v>
      </c>
      <c r="D45" s="23" t="s">
        <v>14</v>
      </c>
      <c r="E45" s="23" t="s">
        <v>15</v>
      </c>
      <c r="F45" s="23" t="s">
        <v>685</v>
      </c>
      <c r="G45" s="23" t="s">
        <v>307</v>
      </c>
      <c r="H45" s="23" t="s">
        <v>139</v>
      </c>
      <c r="I45" s="23" t="s">
        <v>22</v>
      </c>
      <c r="J45" s="23"/>
      <c r="K45" s="23" t="s">
        <v>0</v>
      </c>
      <c r="L45" s="23" t="s">
        <v>17</v>
      </c>
      <c r="M45" s="23" t="s">
        <v>339</v>
      </c>
      <c r="N45" s="23" t="s">
        <v>299</v>
      </c>
      <c r="O45" s="1" t="s">
        <v>38</v>
      </c>
    </row>
    <row r="46" spans="1:15" s="1" customFormat="1" ht="57" x14ac:dyDescent="0.25">
      <c r="A46" s="23" t="s">
        <v>308</v>
      </c>
      <c r="B46" s="23" t="s">
        <v>92</v>
      </c>
      <c r="C46" s="24" t="s">
        <v>309</v>
      </c>
      <c r="D46" s="23" t="s">
        <v>14</v>
      </c>
      <c r="E46" s="23" t="s">
        <v>15</v>
      </c>
      <c r="F46" s="26" t="s">
        <v>310</v>
      </c>
      <c r="G46" s="23" t="s">
        <v>311</v>
      </c>
      <c r="H46" s="23" t="s">
        <v>312</v>
      </c>
      <c r="I46" s="23" t="s">
        <v>22</v>
      </c>
      <c r="J46" s="23" t="s">
        <v>313</v>
      </c>
      <c r="K46" s="23" t="s">
        <v>11</v>
      </c>
      <c r="L46" s="23" t="s">
        <v>43</v>
      </c>
      <c r="M46" s="23" t="s">
        <v>339</v>
      </c>
      <c r="N46" s="23"/>
      <c r="O46" s="1" t="s">
        <v>38</v>
      </c>
    </row>
    <row r="47" spans="1:15" s="1" customFormat="1" x14ac:dyDescent="0.25">
      <c r="A47" s="23" t="s">
        <v>314</v>
      </c>
      <c r="B47" s="23" t="s">
        <v>90</v>
      </c>
      <c r="C47" s="24" t="s">
        <v>315</v>
      </c>
      <c r="D47" s="23" t="s">
        <v>14</v>
      </c>
      <c r="E47" s="23" t="s">
        <v>20</v>
      </c>
      <c r="F47" s="23" t="s">
        <v>679</v>
      </c>
      <c r="G47" s="23" t="s">
        <v>316</v>
      </c>
      <c r="H47" s="23" t="s">
        <v>317</v>
      </c>
      <c r="I47" s="23" t="s">
        <v>32</v>
      </c>
      <c r="J47" s="23"/>
      <c r="K47" s="23" t="s">
        <v>2</v>
      </c>
      <c r="L47" s="23" t="s">
        <v>37</v>
      </c>
      <c r="M47" s="23" t="s">
        <v>349</v>
      </c>
      <c r="N47" s="23"/>
      <c r="O47" s="1" t="s">
        <v>38</v>
      </c>
    </row>
    <row r="48" spans="1:15" s="1" customFormat="1" ht="23.25" x14ac:dyDescent="0.25">
      <c r="A48" s="23" t="s">
        <v>318</v>
      </c>
      <c r="B48" s="23" t="s">
        <v>59</v>
      </c>
      <c r="C48" s="24" t="s">
        <v>319</v>
      </c>
      <c r="D48" s="23" t="s">
        <v>23</v>
      </c>
      <c r="E48" s="23" t="s">
        <v>46</v>
      </c>
      <c r="F48" s="26" t="s">
        <v>320</v>
      </c>
      <c r="G48" s="23" t="s">
        <v>686</v>
      </c>
      <c r="H48" s="23" t="s">
        <v>321</v>
      </c>
      <c r="I48" s="23" t="s">
        <v>22</v>
      </c>
      <c r="J48" s="23"/>
      <c r="K48" s="23" t="s">
        <v>2</v>
      </c>
      <c r="L48" s="23" t="s">
        <v>322</v>
      </c>
      <c r="M48" s="23" t="s">
        <v>339</v>
      </c>
      <c r="N48" s="23"/>
      <c r="O48" s="1" t="s">
        <v>38</v>
      </c>
    </row>
    <row r="49" spans="1:15" s="1" customFormat="1" x14ac:dyDescent="0.25">
      <c r="A49" s="23" t="s">
        <v>323</v>
      </c>
      <c r="B49" s="23" t="s">
        <v>24</v>
      </c>
      <c r="C49" s="24" t="s">
        <v>315</v>
      </c>
      <c r="D49" s="23" t="s">
        <v>14</v>
      </c>
      <c r="E49" s="23" t="s">
        <v>27</v>
      </c>
      <c r="F49" s="23" t="s">
        <v>687</v>
      </c>
      <c r="G49" s="23" t="s">
        <v>688</v>
      </c>
      <c r="H49" s="23" t="s">
        <v>324</v>
      </c>
      <c r="I49" s="23" t="s">
        <v>22</v>
      </c>
      <c r="J49" s="23"/>
      <c r="K49" s="23" t="s">
        <v>0</v>
      </c>
      <c r="L49" s="23" t="s">
        <v>37</v>
      </c>
      <c r="M49" s="23" t="s">
        <v>339</v>
      </c>
      <c r="N49" s="23" t="s">
        <v>325</v>
      </c>
      <c r="O49" s="1" t="s">
        <v>38</v>
      </c>
    </row>
    <row r="50" spans="1:15" s="1" customFormat="1" x14ac:dyDescent="0.25">
      <c r="A50" s="23" t="s">
        <v>326</v>
      </c>
      <c r="B50" s="23" t="s">
        <v>58</v>
      </c>
      <c r="C50" s="24" t="s">
        <v>336</v>
      </c>
      <c r="D50" s="23" t="s">
        <v>14</v>
      </c>
      <c r="E50" s="23" t="s">
        <v>15</v>
      </c>
      <c r="F50" s="23" t="s">
        <v>689</v>
      </c>
      <c r="G50" s="23" t="s">
        <v>327</v>
      </c>
      <c r="H50" s="23" t="s">
        <v>328</v>
      </c>
      <c r="I50" s="23" t="s">
        <v>22</v>
      </c>
      <c r="J50" s="23"/>
      <c r="K50" s="23" t="s">
        <v>0</v>
      </c>
      <c r="L50" s="23" t="s">
        <v>53</v>
      </c>
      <c r="M50" s="23" t="s">
        <v>339</v>
      </c>
      <c r="N50" s="23" t="s">
        <v>329</v>
      </c>
      <c r="O50" s="1" t="s">
        <v>38</v>
      </c>
    </row>
    <row r="51" spans="1:15" s="1" customFormat="1" x14ac:dyDescent="0.25">
      <c r="A51" s="23" t="s">
        <v>338</v>
      </c>
      <c r="B51" s="23" t="s">
        <v>86</v>
      </c>
      <c r="C51" s="24" t="s">
        <v>337</v>
      </c>
      <c r="D51" s="23" t="s">
        <v>14</v>
      </c>
      <c r="E51" s="23" t="s">
        <v>15</v>
      </c>
      <c r="F51" s="23" t="s">
        <v>690</v>
      </c>
      <c r="G51" s="23" t="s">
        <v>330</v>
      </c>
      <c r="H51" s="23" t="s">
        <v>331</v>
      </c>
      <c r="I51" s="23" t="s">
        <v>22</v>
      </c>
      <c r="J51" s="23"/>
      <c r="K51" s="23" t="s">
        <v>0</v>
      </c>
      <c r="L51" s="23" t="s">
        <v>53</v>
      </c>
      <c r="M51" s="23" t="s">
        <v>339</v>
      </c>
      <c r="N51" s="23" t="s">
        <v>329</v>
      </c>
      <c r="O51" s="1" t="s">
        <v>38</v>
      </c>
    </row>
    <row r="52" spans="1:15" s="1" customFormat="1" x14ac:dyDescent="0.25">
      <c r="A52" s="23" t="s">
        <v>332</v>
      </c>
      <c r="B52" s="23" t="s">
        <v>18</v>
      </c>
      <c r="C52" s="24" t="s">
        <v>336</v>
      </c>
      <c r="D52" s="23" t="s">
        <v>19</v>
      </c>
      <c r="E52" s="23" t="s">
        <v>57</v>
      </c>
      <c r="F52" s="23" t="s">
        <v>691</v>
      </c>
      <c r="G52" s="23" t="s">
        <v>333</v>
      </c>
      <c r="H52" s="23" t="s">
        <v>334</v>
      </c>
      <c r="I52" s="23" t="s">
        <v>22</v>
      </c>
      <c r="J52" s="23"/>
      <c r="K52" s="23" t="s">
        <v>0</v>
      </c>
      <c r="L52" s="23" t="s">
        <v>37</v>
      </c>
      <c r="M52" s="25" t="s">
        <v>339</v>
      </c>
      <c r="N52" s="23" t="s">
        <v>335</v>
      </c>
      <c r="O52" s="1" t="s">
        <v>38</v>
      </c>
    </row>
    <row r="53" spans="1:15" s="1" customFormat="1" x14ac:dyDescent="0.25">
      <c r="A53" s="23" t="s">
        <v>354</v>
      </c>
      <c r="B53" s="23" t="s">
        <v>98</v>
      </c>
      <c r="C53" s="24" t="s">
        <v>336</v>
      </c>
      <c r="D53" s="23" t="s">
        <v>19</v>
      </c>
      <c r="E53" s="23" t="s">
        <v>57</v>
      </c>
      <c r="F53" s="23" t="s">
        <v>355</v>
      </c>
      <c r="G53" s="23" t="s">
        <v>356</v>
      </c>
      <c r="H53" s="23" t="s">
        <v>357</v>
      </c>
      <c r="I53" s="23" t="s">
        <v>358</v>
      </c>
      <c r="J53" s="23" t="s">
        <v>359</v>
      </c>
      <c r="K53" s="23" t="s">
        <v>2</v>
      </c>
      <c r="L53" s="23" t="s">
        <v>360</v>
      </c>
      <c r="M53" s="25" t="s">
        <v>362</v>
      </c>
      <c r="N53" s="23" t="s">
        <v>361</v>
      </c>
      <c r="O53" s="1" t="s">
        <v>38</v>
      </c>
    </row>
    <row r="54" spans="1:15" s="1" customFormat="1" x14ac:dyDescent="0.25">
      <c r="A54" s="23" t="s">
        <v>363</v>
      </c>
      <c r="B54" s="23" t="s">
        <v>92</v>
      </c>
      <c r="C54" s="24" t="s">
        <v>364</v>
      </c>
      <c r="D54" s="23" t="s">
        <v>14</v>
      </c>
      <c r="E54" s="23" t="s">
        <v>46</v>
      </c>
      <c r="F54" s="23" t="s">
        <v>692</v>
      </c>
      <c r="G54" s="23" t="s">
        <v>693</v>
      </c>
      <c r="H54" s="23" t="s">
        <v>365</v>
      </c>
      <c r="I54" s="23" t="s">
        <v>32</v>
      </c>
      <c r="J54" s="23"/>
      <c r="K54" s="23" t="s">
        <v>2</v>
      </c>
      <c r="L54" s="23" t="s">
        <v>37</v>
      </c>
      <c r="M54" s="25" t="s">
        <v>366</v>
      </c>
      <c r="N54" s="23"/>
      <c r="O54" s="1" t="s">
        <v>38</v>
      </c>
    </row>
    <row r="55" spans="1:15" s="1" customFormat="1" x14ac:dyDescent="0.25">
      <c r="A55" s="23" t="s">
        <v>406</v>
      </c>
      <c r="B55" s="23" t="s">
        <v>33</v>
      </c>
      <c r="C55" s="24" t="s">
        <v>413</v>
      </c>
      <c r="D55" s="23" t="s">
        <v>14</v>
      </c>
      <c r="E55" s="23" t="s">
        <v>20</v>
      </c>
      <c r="F55" s="23" t="s">
        <v>407</v>
      </c>
      <c r="G55" s="23" t="s">
        <v>408</v>
      </c>
      <c r="H55" s="23" t="s">
        <v>409</v>
      </c>
      <c r="I55" s="23" t="s">
        <v>32</v>
      </c>
      <c r="J55" s="23" t="s">
        <v>410</v>
      </c>
      <c r="K55" s="23" t="s">
        <v>5</v>
      </c>
      <c r="L55" s="23" t="s">
        <v>39</v>
      </c>
      <c r="M55" s="23" t="s">
        <v>339</v>
      </c>
      <c r="N55" s="23" t="s">
        <v>411</v>
      </c>
      <c r="O55" s="1" t="s">
        <v>38</v>
      </c>
    </row>
    <row r="56" spans="1:15" s="1" customFormat="1" x14ac:dyDescent="0.25">
      <c r="A56" s="23" t="s">
        <v>412</v>
      </c>
      <c r="B56" s="23" t="s">
        <v>13</v>
      </c>
      <c r="C56" s="24" t="s">
        <v>413</v>
      </c>
      <c r="D56" s="23" t="s">
        <v>14</v>
      </c>
      <c r="E56" s="23" t="s">
        <v>81</v>
      </c>
      <c r="F56" s="23" t="s">
        <v>694</v>
      </c>
      <c r="G56" s="23" t="s">
        <v>414</v>
      </c>
      <c r="H56" s="23" t="s">
        <v>415</v>
      </c>
      <c r="I56" s="23" t="s">
        <v>22</v>
      </c>
      <c r="J56" s="23"/>
      <c r="K56" s="23" t="s">
        <v>0</v>
      </c>
      <c r="L56" s="23" t="s">
        <v>43</v>
      </c>
      <c r="M56" s="23" t="s">
        <v>339</v>
      </c>
      <c r="N56" s="23" t="s">
        <v>416</v>
      </c>
      <c r="O56" s="1" t="s">
        <v>38</v>
      </c>
    </row>
    <row r="57" spans="1:15" s="1" customFormat="1" x14ac:dyDescent="0.25">
      <c r="A57" s="23" t="s">
        <v>417</v>
      </c>
      <c r="B57" s="23" t="s">
        <v>90</v>
      </c>
      <c r="C57" s="24" t="s">
        <v>413</v>
      </c>
      <c r="D57" s="23" t="s">
        <v>19</v>
      </c>
      <c r="E57" s="23" t="s">
        <v>57</v>
      </c>
      <c r="F57" s="23" t="s">
        <v>695</v>
      </c>
      <c r="G57" s="23" t="s">
        <v>418</v>
      </c>
      <c r="H57" s="23" t="s">
        <v>419</v>
      </c>
      <c r="I57" s="23" t="s">
        <v>22</v>
      </c>
      <c r="J57" s="23"/>
      <c r="K57" s="23" t="s">
        <v>0</v>
      </c>
      <c r="L57" s="23" t="s">
        <v>37</v>
      </c>
      <c r="M57" s="23" t="s">
        <v>339</v>
      </c>
      <c r="N57" s="23"/>
      <c r="O57" s="1" t="s">
        <v>38</v>
      </c>
    </row>
    <row r="58" spans="1:15" s="1" customFormat="1" x14ac:dyDescent="0.25">
      <c r="A58" s="23" t="s">
        <v>420</v>
      </c>
      <c r="B58" s="23" t="s">
        <v>92</v>
      </c>
      <c r="C58" s="24" t="s">
        <v>413</v>
      </c>
      <c r="D58" s="23" t="s">
        <v>14</v>
      </c>
      <c r="E58" s="23" t="s">
        <v>46</v>
      </c>
      <c r="F58" s="23" t="s">
        <v>696</v>
      </c>
      <c r="G58" s="23" t="s">
        <v>697</v>
      </c>
      <c r="H58" s="23" t="s">
        <v>365</v>
      </c>
      <c r="I58" s="23" t="s">
        <v>32</v>
      </c>
      <c r="J58" s="23"/>
      <c r="K58" s="23" t="s">
        <v>2</v>
      </c>
      <c r="L58" s="23" t="s">
        <v>37</v>
      </c>
      <c r="M58" s="23" t="s">
        <v>421</v>
      </c>
      <c r="N58" s="23"/>
      <c r="O58" s="1" t="s">
        <v>38</v>
      </c>
    </row>
    <row r="59" spans="1:15" s="1" customFormat="1" x14ac:dyDescent="0.25">
      <c r="A59" s="23" t="s">
        <v>422</v>
      </c>
      <c r="B59" s="23" t="s">
        <v>90</v>
      </c>
      <c r="C59" s="24" t="s">
        <v>423</v>
      </c>
      <c r="D59" s="23" t="s">
        <v>14</v>
      </c>
      <c r="E59" s="23" t="s">
        <v>72</v>
      </c>
      <c r="F59" s="23" t="s">
        <v>698</v>
      </c>
      <c r="G59" s="23" t="s">
        <v>856</v>
      </c>
      <c r="H59" s="23" t="s">
        <v>142</v>
      </c>
      <c r="I59" s="23" t="s">
        <v>22</v>
      </c>
      <c r="J59" s="23"/>
      <c r="K59" s="23" t="s">
        <v>2</v>
      </c>
      <c r="L59" s="23" t="s">
        <v>17</v>
      </c>
      <c r="M59" s="23" t="s">
        <v>339</v>
      </c>
      <c r="N59" s="23"/>
      <c r="O59" s="1" t="s">
        <v>38</v>
      </c>
    </row>
    <row r="60" spans="1:15" s="1" customFormat="1" x14ac:dyDescent="0.25">
      <c r="A60" s="23" t="s">
        <v>424</v>
      </c>
      <c r="B60" s="23" t="s">
        <v>90</v>
      </c>
      <c r="C60" s="24" t="s">
        <v>649</v>
      </c>
      <c r="D60" s="23" t="s">
        <v>14</v>
      </c>
      <c r="E60" s="23" t="s">
        <v>15</v>
      </c>
      <c r="F60" s="23" t="s">
        <v>699</v>
      </c>
      <c r="G60" s="23" t="s">
        <v>700</v>
      </c>
      <c r="H60" s="23" t="s">
        <v>142</v>
      </c>
      <c r="I60" s="23" t="s">
        <v>22</v>
      </c>
      <c r="J60" s="23"/>
      <c r="K60" s="23" t="s">
        <v>0</v>
      </c>
      <c r="L60" s="23" t="s">
        <v>17</v>
      </c>
      <c r="M60" s="23" t="s">
        <v>339</v>
      </c>
      <c r="N60" s="23" t="s">
        <v>425</v>
      </c>
      <c r="O60" s="1" t="s">
        <v>38</v>
      </c>
    </row>
    <row r="61" spans="1:15" s="1" customFormat="1" ht="113.25" x14ac:dyDescent="0.25">
      <c r="A61" s="23" t="s">
        <v>426</v>
      </c>
      <c r="B61" s="23" t="s">
        <v>18</v>
      </c>
      <c r="C61" s="24" t="s">
        <v>427</v>
      </c>
      <c r="D61" s="23" t="s">
        <v>14</v>
      </c>
      <c r="E61" s="23" t="s">
        <v>15</v>
      </c>
      <c r="F61" s="23" t="s">
        <v>701</v>
      </c>
      <c r="G61" s="26" t="s">
        <v>458</v>
      </c>
      <c r="H61" s="26" t="s">
        <v>428</v>
      </c>
      <c r="I61" s="23" t="s">
        <v>22</v>
      </c>
      <c r="J61" s="23"/>
      <c r="K61" s="23" t="s">
        <v>0</v>
      </c>
      <c r="L61" s="23" t="s">
        <v>68</v>
      </c>
      <c r="M61" s="23" t="s">
        <v>339</v>
      </c>
      <c r="N61" s="26" t="s">
        <v>429</v>
      </c>
      <c r="O61" s="1" t="s">
        <v>38</v>
      </c>
    </row>
    <row r="62" spans="1:15" s="1" customFormat="1" x14ac:dyDescent="0.25">
      <c r="A62" s="23" t="s">
        <v>430</v>
      </c>
      <c r="B62" s="23" t="s">
        <v>86</v>
      </c>
      <c r="C62" s="24" t="s">
        <v>336</v>
      </c>
      <c r="D62" s="23" t="s">
        <v>14</v>
      </c>
      <c r="E62" s="23" t="s">
        <v>46</v>
      </c>
      <c r="F62" s="23" t="s">
        <v>702</v>
      </c>
      <c r="G62" s="23" t="s">
        <v>703</v>
      </c>
      <c r="H62" s="23" t="s">
        <v>331</v>
      </c>
      <c r="I62" s="23" t="s">
        <v>22</v>
      </c>
      <c r="J62" s="23"/>
      <c r="K62" s="23" t="s">
        <v>0</v>
      </c>
      <c r="L62" s="23" t="s">
        <v>53</v>
      </c>
      <c r="M62" s="23" t="s">
        <v>339</v>
      </c>
      <c r="N62" s="23" t="s">
        <v>431</v>
      </c>
      <c r="O62" s="1" t="s">
        <v>38</v>
      </c>
    </row>
    <row r="63" spans="1:15" s="1" customFormat="1" x14ac:dyDescent="0.25">
      <c r="A63" s="23" t="s">
        <v>432</v>
      </c>
      <c r="B63" s="23" t="s">
        <v>353</v>
      </c>
      <c r="C63" s="24" t="s">
        <v>433</v>
      </c>
      <c r="D63" s="23" t="s">
        <v>14</v>
      </c>
      <c r="E63" s="23" t="s">
        <v>15</v>
      </c>
      <c r="F63" s="23" t="s">
        <v>434</v>
      </c>
      <c r="G63" s="23" t="s">
        <v>704</v>
      </c>
      <c r="H63" s="23" t="s">
        <v>435</v>
      </c>
      <c r="I63" s="23" t="s">
        <v>22</v>
      </c>
      <c r="J63" s="23" t="s">
        <v>436</v>
      </c>
      <c r="K63" s="23" t="s">
        <v>5</v>
      </c>
      <c r="L63" s="23" t="s">
        <v>25</v>
      </c>
      <c r="M63" s="23" t="s">
        <v>339</v>
      </c>
      <c r="N63" s="23" t="s">
        <v>437</v>
      </c>
      <c r="O63" s="1" t="s">
        <v>38</v>
      </c>
    </row>
    <row r="64" spans="1:15" s="1" customFormat="1" x14ac:dyDescent="0.25">
      <c r="A64" s="23" t="s">
        <v>438</v>
      </c>
      <c r="B64" s="23" t="s">
        <v>94</v>
      </c>
      <c r="C64" s="24" t="s">
        <v>433</v>
      </c>
      <c r="D64" s="23" t="s">
        <v>14</v>
      </c>
      <c r="E64" s="23" t="s">
        <v>46</v>
      </c>
      <c r="F64" s="23" t="s">
        <v>439</v>
      </c>
      <c r="G64" s="23" t="s">
        <v>440</v>
      </c>
      <c r="H64" s="23" t="s">
        <v>441</v>
      </c>
      <c r="I64" s="23" t="s">
        <v>22</v>
      </c>
      <c r="J64" s="23" t="s">
        <v>442</v>
      </c>
      <c r="K64" s="23" t="s">
        <v>5</v>
      </c>
      <c r="L64" s="23" t="s">
        <v>56</v>
      </c>
      <c r="M64" s="23" t="s">
        <v>339</v>
      </c>
      <c r="N64" s="23"/>
      <c r="O64" s="1" t="s">
        <v>38</v>
      </c>
    </row>
    <row r="65" spans="1:15" s="1" customFormat="1" x14ac:dyDescent="0.25">
      <c r="A65" s="23" t="s">
        <v>444</v>
      </c>
      <c r="B65" s="23" t="s">
        <v>33</v>
      </c>
      <c r="C65" s="24" t="s">
        <v>445</v>
      </c>
      <c r="D65" s="23" t="s">
        <v>14</v>
      </c>
      <c r="E65" s="23" t="s">
        <v>48</v>
      </c>
      <c r="F65" s="23" t="s">
        <v>446</v>
      </c>
      <c r="G65" s="23" t="s">
        <v>447</v>
      </c>
      <c r="H65" s="23" t="s">
        <v>448</v>
      </c>
      <c r="I65" s="23" t="s">
        <v>51</v>
      </c>
      <c r="J65" s="23"/>
      <c r="K65" s="23" t="s">
        <v>5</v>
      </c>
      <c r="L65" s="23" t="s">
        <v>43</v>
      </c>
      <c r="M65" s="23" t="s">
        <v>339</v>
      </c>
      <c r="N65" s="23" t="s">
        <v>411</v>
      </c>
      <c r="O65" s="1" t="s">
        <v>38</v>
      </c>
    </row>
    <row r="66" spans="1:15" s="1" customFormat="1" x14ac:dyDescent="0.25">
      <c r="A66" s="23" t="s">
        <v>449</v>
      </c>
      <c r="B66" s="23" t="s">
        <v>93</v>
      </c>
      <c r="C66" s="24" t="s">
        <v>450</v>
      </c>
      <c r="D66" s="23" t="s">
        <v>14</v>
      </c>
      <c r="E66" s="23" t="s">
        <v>15</v>
      </c>
      <c r="F66" s="23" t="s">
        <v>705</v>
      </c>
      <c r="G66" s="23" t="s">
        <v>451</v>
      </c>
      <c r="H66" s="23" t="s">
        <v>452</v>
      </c>
      <c r="I66" s="23" t="s">
        <v>22</v>
      </c>
      <c r="J66" s="23" t="s">
        <v>453</v>
      </c>
      <c r="K66" s="23" t="s">
        <v>5</v>
      </c>
      <c r="L66" s="23" t="s">
        <v>25</v>
      </c>
      <c r="M66" s="23" t="s">
        <v>339</v>
      </c>
      <c r="N66" s="23"/>
      <c r="O66" s="1" t="s">
        <v>38</v>
      </c>
    </row>
    <row r="67" spans="1:15" s="1" customFormat="1" x14ac:dyDescent="0.25">
      <c r="A67" s="23" t="s">
        <v>454</v>
      </c>
      <c r="B67" s="23" t="s">
        <v>33</v>
      </c>
      <c r="C67" s="24" t="s">
        <v>450</v>
      </c>
      <c r="D67" s="23" t="s">
        <v>14</v>
      </c>
      <c r="E67" s="23" t="s">
        <v>81</v>
      </c>
      <c r="F67" s="23" t="s">
        <v>706</v>
      </c>
      <c r="G67" s="23" t="s">
        <v>455</v>
      </c>
      <c r="H67" s="23" t="s">
        <v>456</v>
      </c>
      <c r="I67" s="23" t="s">
        <v>22</v>
      </c>
      <c r="J67" s="23"/>
      <c r="K67" s="23" t="s">
        <v>2</v>
      </c>
      <c r="L67" s="23" t="s">
        <v>43</v>
      </c>
      <c r="M67" s="23" t="s">
        <v>457</v>
      </c>
      <c r="N67" s="23"/>
      <c r="O67" s="1" t="s">
        <v>38</v>
      </c>
    </row>
    <row r="68" spans="1:15" s="1" customFormat="1" x14ac:dyDescent="0.25">
      <c r="A68" s="23" t="s">
        <v>459</v>
      </c>
      <c r="B68" s="23" t="s">
        <v>33</v>
      </c>
      <c r="C68" s="24" t="s">
        <v>450</v>
      </c>
      <c r="D68" s="23" t="s">
        <v>14</v>
      </c>
      <c r="E68" s="23" t="s">
        <v>81</v>
      </c>
      <c r="F68" s="23" t="s">
        <v>460</v>
      </c>
      <c r="G68" s="23"/>
      <c r="H68" s="23" t="s">
        <v>461</v>
      </c>
      <c r="I68" s="23" t="s">
        <v>22</v>
      </c>
      <c r="J68" s="23"/>
      <c r="K68" s="23" t="s">
        <v>5</v>
      </c>
      <c r="L68" s="23" t="s">
        <v>37</v>
      </c>
      <c r="M68" s="23" t="s">
        <v>462</v>
      </c>
      <c r="N68" s="23"/>
      <c r="O68" s="1" t="s">
        <v>38</v>
      </c>
    </row>
    <row r="69" spans="1:15" s="1" customFormat="1" x14ac:dyDescent="0.25">
      <c r="A69" s="23" t="s">
        <v>463</v>
      </c>
      <c r="B69" s="23" t="s">
        <v>33</v>
      </c>
      <c r="C69" s="24" t="s">
        <v>450</v>
      </c>
      <c r="D69" s="23" t="s">
        <v>14</v>
      </c>
      <c r="E69" s="23" t="s">
        <v>46</v>
      </c>
      <c r="F69" s="23" t="s">
        <v>464</v>
      </c>
      <c r="G69" s="23" t="s">
        <v>465</v>
      </c>
      <c r="H69" s="23" t="s">
        <v>466</v>
      </c>
      <c r="I69" s="23" t="s">
        <v>22</v>
      </c>
      <c r="J69" s="23" t="s">
        <v>467</v>
      </c>
      <c r="K69" s="23" t="s">
        <v>5</v>
      </c>
      <c r="L69" s="23" t="s">
        <v>53</v>
      </c>
      <c r="M69" s="23" t="s">
        <v>339</v>
      </c>
      <c r="N69" s="23" t="s">
        <v>468</v>
      </c>
      <c r="O69" s="1" t="s">
        <v>38</v>
      </c>
    </row>
    <row r="70" spans="1:15" s="1" customFormat="1" ht="259.5" x14ac:dyDescent="0.25">
      <c r="A70" s="23" t="s">
        <v>469</v>
      </c>
      <c r="B70" s="23" t="s">
        <v>92</v>
      </c>
      <c r="C70" s="24" t="s">
        <v>470</v>
      </c>
      <c r="D70" s="23" t="s">
        <v>14</v>
      </c>
      <c r="E70" s="23" t="s">
        <v>46</v>
      </c>
      <c r="F70" s="23" t="s">
        <v>471</v>
      </c>
      <c r="G70" s="23" t="s">
        <v>472</v>
      </c>
      <c r="H70" s="23" t="s">
        <v>473</v>
      </c>
      <c r="I70" s="23" t="s">
        <v>32</v>
      </c>
      <c r="J70" s="26" t="s">
        <v>490</v>
      </c>
      <c r="K70" s="23" t="s">
        <v>5</v>
      </c>
      <c r="L70" s="23" t="s">
        <v>37</v>
      </c>
      <c r="M70" s="23" t="s">
        <v>339</v>
      </c>
      <c r="N70" s="23"/>
      <c r="O70" s="1" t="s">
        <v>38</v>
      </c>
    </row>
    <row r="71" spans="1:15" s="1" customFormat="1" x14ac:dyDescent="0.25">
      <c r="A71" s="23" t="s">
        <v>491</v>
      </c>
      <c r="B71" s="23" t="s">
        <v>33</v>
      </c>
      <c r="C71" s="24" t="s">
        <v>492</v>
      </c>
      <c r="D71" s="23" t="s">
        <v>19</v>
      </c>
      <c r="E71" s="23" t="s">
        <v>57</v>
      </c>
      <c r="F71" s="23" t="s">
        <v>493</v>
      </c>
      <c r="G71" s="23" t="s">
        <v>707</v>
      </c>
      <c r="H71" s="23" t="s">
        <v>128</v>
      </c>
      <c r="I71" s="23" t="s">
        <v>23</v>
      </c>
      <c r="J71" s="23"/>
      <c r="K71" s="23" t="s">
        <v>2</v>
      </c>
      <c r="L71" s="23" t="s">
        <v>37</v>
      </c>
      <c r="M71" s="23" t="s">
        <v>494</v>
      </c>
      <c r="N71" s="23"/>
      <c r="O71" s="1" t="s">
        <v>38</v>
      </c>
    </row>
    <row r="72" spans="1:15" s="1" customFormat="1" x14ac:dyDescent="0.25">
      <c r="A72" s="23" t="s">
        <v>495</v>
      </c>
      <c r="B72" s="23" t="s">
        <v>90</v>
      </c>
      <c r="C72" s="24" t="s">
        <v>496</v>
      </c>
      <c r="D72" s="23" t="s">
        <v>14</v>
      </c>
      <c r="E72" s="23" t="s">
        <v>15</v>
      </c>
      <c r="F72" s="23" t="s">
        <v>497</v>
      </c>
      <c r="G72" s="23" t="s">
        <v>708</v>
      </c>
      <c r="H72" s="23" t="s">
        <v>142</v>
      </c>
      <c r="I72" s="23" t="s">
        <v>22</v>
      </c>
      <c r="J72" s="23"/>
      <c r="K72" s="23" t="s">
        <v>0</v>
      </c>
      <c r="L72" s="23" t="s">
        <v>17</v>
      </c>
      <c r="M72" s="23" t="s">
        <v>339</v>
      </c>
      <c r="N72" s="23" t="s">
        <v>299</v>
      </c>
      <c r="O72" s="1" t="s">
        <v>38</v>
      </c>
    </row>
    <row r="73" spans="1:15" s="1" customFormat="1" x14ac:dyDescent="0.25">
      <c r="A73" s="23" t="s">
        <v>498</v>
      </c>
      <c r="B73" s="23" t="s">
        <v>90</v>
      </c>
      <c r="C73" s="24" t="s">
        <v>496</v>
      </c>
      <c r="D73" s="23" t="s">
        <v>14</v>
      </c>
      <c r="E73" s="23" t="s">
        <v>15</v>
      </c>
      <c r="F73" s="23" t="s">
        <v>499</v>
      </c>
      <c r="G73" s="23" t="s">
        <v>709</v>
      </c>
      <c r="H73" s="23" t="s">
        <v>142</v>
      </c>
      <c r="I73" s="23" t="s">
        <v>22</v>
      </c>
      <c r="J73" s="23"/>
      <c r="K73" s="23" t="s">
        <v>0</v>
      </c>
      <c r="L73" s="23" t="s">
        <v>17</v>
      </c>
      <c r="M73" s="23" t="s">
        <v>339</v>
      </c>
      <c r="N73" s="23" t="s">
        <v>500</v>
      </c>
      <c r="O73" s="1" t="s">
        <v>38</v>
      </c>
    </row>
    <row r="74" spans="1:15" s="1" customFormat="1" ht="57" x14ac:dyDescent="0.25">
      <c r="A74" s="23" t="s">
        <v>501</v>
      </c>
      <c r="B74" s="23" t="s">
        <v>90</v>
      </c>
      <c r="C74" s="24" t="s">
        <v>502</v>
      </c>
      <c r="D74" s="23" t="s">
        <v>19</v>
      </c>
      <c r="E74" s="23" t="s">
        <v>57</v>
      </c>
      <c r="F74" s="26" t="s">
        <v>710</v>
      </c>
      <c r="G74" s="23" t="s">
        <v>711</v>
      </c>
      <c r="H74" s="23" t="s">
        <v>503</v>
      </c>
      <c r="I74" s="23" t="s">
        <v>22</v>
      </c>
      <c r="J74" s="23" t="s">
        <v>504</v>
      </c>
      <c r="K74" s="23" t="s">
        <v>0</v>
      </c>
      <c r="L74" s="23" t="s">
        <v>43</v>
      </c>
      <c r="M74" s="23" t="s">
        <v>339</v>
      </c>
      <c r="N74" s="23" t="s">
        <v>505</v>
      </c>
      <c r="O74" s="1" t="s">
        <v>38</v>
      </c>
    </row>
    <row r="75" spans="1:15" s="1" customFormat="1" x14ac:dyDescent="0.25">
      <c r="A75" s="23" t="s">
        <v>506</v>
      </c>
      <c r="B75" s="23" t="s">
        <v>353</v>
      </c>
      <c r="C75" s="24" t="s">
        <v>502</v>
      </c>
      <c r="D75" s="23" t="s">
        <v>14</v>
      </c>
      <c r="E75" s="23" t="s">
        <v>46</v>
      </c>
      <c r="F75" s="23" t="s">
        <v>712</v>
      </c>
      <c r="G75" s="23" t="s">
        <v>507</v>
      </c>
      <c r="H75" s="23" t="s">
        <v>508</v>
      </c>
      <c r="I75" s="23" t="s">
        <v>22</v>
      </c>
      <c r="J75" s="23" t="s">
        <v>509</v>
      </c>
      <c r="K75" s="23" t="s">
        <v>2</v>
      </c>
      <c r="L75" s="23" t="s">
        <v>25</v>
      </c>
      <c r="M75" s="63" t="s">
        <v>511</v>
      </c>
      <c r="N75" s="23" t="s">
        <v>510</v>
      </c>
      <c r="O75" s="1" t="s">
        <v>38</v>
      </c>
    </row>
    <row r="76" spans="1:15" s="1" customFormat="1" ht="135.75" x14ac:dyDescent="0.25">
      <c r="A76" s="23" t="s">
        <v>512</v>
      </c>
      <c r="B76" s="23" t="s">
        <v>353</v>
      </c>
      <c r="C76" s="24" t="s">
        <v>502</v>
      </c>
      <c r="D76" s="23" t="s">
        <v>14</v>
      </c>
      <c r="E76" s="23" t="s">
        <v>27</v>
      </c>
      <c r="F76" s="26" t="s">
        <v>513</v>
      </c>
      <c r="G76" s="23"/>
      <c r="H76" s="23" t="s">
        <v>139</v>
      </c>
      <c r="I76" s="23" t="s">
        <v>22</v>
      </c>
      <c r="J76" s="23" t="s">
        <v>514</v>
      </c>
      <c r="K76" s="23" t="s">
        <v>5</v>
      </c>
      <c r="L76" s="23" t="s">
        <v>17</v>
      </c>
      <c r="M76" s="23" t="s">
        <v>339</v>
      </c>
      <c r="N76" s="23" t="s">
        <v>515</v>
      </c>
      <c r="O76" s="1" t="s">
        <v>38</v>
      </c>
    </row>
    <row r="77" spans="1:15" s="1" customFormat="1" x14ac:dyDescent="0.25">
      <c r="A77" s="23" t="s">
        <v>516</v>
      </c>
      <c r="B77" s="23" t="s">
        <v>33</v>
      </c>
      <c r="C77" s="24" t="s">
        <v>517</v>
      </c>
      <c r="D77" s="23" t="s">
        <v>14</v>
      </c>
      <c r="E77" s="23" t="s">
        <v>20</v>
      </c>
      <c r="F77" s="23" t="s">
        <v>518</v>
      </c>
      <c r="G77" s="23" t="s">
        <v>713</v>
      </c>
      <c r="H77" s="23" t="s">
        <v>519</v>
      </c>
      <c r="I77" s="23" t="s">
        <v>22</v>
      </c>
      <c r="J77" s="23"/>
      <c r="K77" s="23" t="s">
        <v>5</v>
      </c>
      <c r="L77" s="23" t="s">
        <v>37</v>
      </c>
      <c r="M77" s="23" t="s">
        <v>339</v>
      </c>
      <c r="N77" s="23"/>
      <c r="O77" s="1" t="s">
        <v>38</v>
      </c>
    </row>
    <row r="78" spans="1:15" s="1" customFormat="1" x14ac:dyDescent="0.25">
      <c r="A78" s="23" t="s">
        <v>520</v>
      </c>
      <c r="B78" s="23" t="s">
        <v>33</v>
      </c>
      <c r="C78" s="24" t="s">
        <v>521</v>
      </c>
      <c r="D78" s="23" t="s">
        <v>14</v>
      </c>
      <c r="E78" s="23" t="s">
        <v>20</v>
      </c>
      <c r="F78" s="23" t="s">
        <v>522</v>
      </c>
      <c r="G78" s="23" t="s">
        <v>523</v>
      </c>
      <c r="H78" s="23" t="s">
        <v>524</v>
      </c>
      <c r="I78" s="23" t="s">
        <v>32</v>
      </c>
      <c r="J78" s="23"/>
      <c r="K78" s="23" t="s">
        <v>5</v>
      </c>
      <c r="L78" s="23" t="s">
        <v>39</v>
      </c>
      <c r="M78" s="23" t="s">
        <v>339</v>
      </c>
      <c r="N78" s="23"/>
      <c r="O78" s="1" t="s">
        <v>38</v>
      </c>
    </row>
    <row r="79" spans="1:15" s="1" customFormat="1" x14ac:dyDescent="0.25">
      <c r="A79" s="23" t="s">
        <v>525</v>
      </c>
      <c r="B79" s="23" t="s">
        <v>21</v>
      </c>
      <c r="C79" s="24" t="s">
        <v>526</v>
      </c>
      <c r="D79" s="23" t="s">
        <v>19</v>
      </c>
      <c r="E79" s="23" t="s">
        <v>57</v>
      </c>
      <c r="F79" s="23" t="s">
        <v>714</v>
      </c>
      <c r="G79" s="23" t="s">
        <v>715</v>
      </c>
      <c r="H79" s="23" t="s">
        <v>132</v>
      </c>
      <c r="I79" s="23" t="s">
        <v>67</v>
      </c>
      <c r="J79" s="23"/>
      <c r="K79" s="23" t="s">
        <v>0</v>
      </c>
      <c r="L79" s="23" t="s">
        <v>37</v>
      </c>
      <c r="M79" s="23" t="s">
        <v>339</v>
      </c>
      <c r="N79" s="23"/>
      <c r="O79" s="1" t="s">
        <v>38</v>
      </c>
    </row>
    <row r="80" spans="1:15" s="1" customFormat="1" ht="113.25" x14ac:dyDescent="0.25">
      <c r="A80" s="23" t="s">
        <v>527</v>
      </c>
      <c r="B80" s="23" t="s">
        <v>353</v>
      </c>
      <c r="C80" s="24" t="s">
        <v>528</v>
      </c>
      <c r="D80" s="23" t="s">
        <v>14</v>
      </c>
      <c r="E80" s="23" t="s">
        <v>46</v>
      </c>
      <c r="F80" s="23" t="s">
        <v>716</v>
      </c>
      <c r="G80" s="26" t="s">
        <v>529</v>
      </c>
      <c r="H80" s="23" t="s">
        <v>530</v>
      </c>
      <c r="I80" s="23" t="s">
        <v>22</v>
      </c>
      <c r="J80" s="23" t="s">
        <v>531</v>
      </c>
      <c r="K80" s="23" t="s">
        <v>2</v>
      </c>
      <c r="L80" s="23" t="s">
        <v>37</v>
      </c>
      <c r="M80" s="23" t="s">
        <v>339</v>
      </c>
      <c r="N80" s="23"/>
      <c r="O80" s="1" t="s">
        <v>38</v>
      </c>
    </row>
    <row r="81" spans="1:15" s="1" customFormat="1" x14ac:dyDescent="0.25">
      <c r="A81" s="23" t="s">
        <v>532</v>
      </c>
      <c r="B81" s="23" t="s">
        <v>533</v>
      </c>
      <c r="C81" s="24" t="s">
        <v>528</v>
      </c>
      <c r="D81" s="23" t="s">
        <v>19</v>
      </c>
      <c r="E81" s="23" t="s">
        <v>57</v>
      </c>
      <c r="F81" s="23" t="s">
        <v>534</v>
      </c>
      <c r="G81" s="23" t="s">
        <v>717</v>
      </c>
      <c r="H81" s="23" t="s">
        <v>535</v>
      </c>
      <c r="I81" s="23" t="s">
        <v>32</v>
      </c>
      <c r="J81" s="23"/>
      <c r="K81" s="23" t="s">
        <v>2</v>
      </c>
      <c r="L81" s="23" t="s">
        <v>37</v>
      </c>
      <c r="M81" s="63" t="s">
        <v>578</v>
      </c>
      <c r="N81" s="23"/>
      <c r="O81" s="1" t="s">
        <v>38</v>
      </c>
    </row>
    <row r="82" spans="1:15" s="1" customFormat="1" ht="135.75" x14ac:dyDescent="0.25">
      <c r="A82" s="23" t="s">
        <v>536</v>
      </c>
      <c r="B82" s="23" t="s">
        <v>533</v>
      </c>
      <c r="C82" s="24" t="s">
        <v>528</v>
      </c>
      <c r="D82" s="23" t="s">
        <v>14</v>
      </c>
      <c r="E82" s="23" t="s">
        <v>55</v>
      </c>
      <c r="F82" s="23" t="s">
        <v>718</v>
      </c>
      <c r="G82" s="26" t="s">
        <v>537</v>
      </c>
      <c r="H82" s="23" t="s">
        <v>538</v>
      </c>
      <c r="I82" s="23" t="s">
        <v>22</v>
      </c>
      <c r="J82" s="23"/>
      <c r="K82" s="23" t="s">
        <v>2</v>
      </c>
      <c r="L82" s="23" t="s">
        <v>43</v>
      </c>
      <c r="M82" s="63" t="s">
        <v>579</v>
      </c>
      <c r="N82" s="23"/>
      <c r="O82" s="1" t="s">
        <v>38</v>
      </c>
    </row>
    <row r="83" spans="1:15" s="1" customFormat="1" x14ac:dyDescent="0.25">
      <c r="A83" s="23" t="s">
        <v>539</v>
      </c>
      <c r="B83" s="23" t="s">
        <v>533</v>
      </c>
      <c r="C83" s="24" t="s">
        <v>528</v>
      </c>
      <c r="D83" s="23" t="s">
        <v>19</v>
      </c>
      <c r="E83" s="23" t="s">
        <v>20</v>
      </c>
      <c r="F83" s="23" t="s">
        <v>719</v>
      </c>
      <c r="G83" s="23" t="s">
        <v>720</v>
      </c>
      <c r="H83" s="23" t="s">
        <v>540</v>
      </c>
      <c r="I83" s="23" t="s">
        <v>541</v>
      </c>
      <c r="J83" s="23" t="s">
        <v>542</v>
      </c>
      <c r="K83" s="23" t="s">
        <v>2</v>
      </c>
      <c r="L83" s="23" t="s">
        <v>43</v>
      </c>
      <c r="M83" s="23" t="s">
        <v>339</v>
      </c>
      <c r="N83" s="23" t="s">
        <v>543</v>
      </c>
      <c r="O83" s="1" t="s">
        <v>38</v>
      </c>
    </row>
    <row r="84" spans="1:15" s="1" customFormat="1" x14ac:dyDescent="0.25">
      <c r="A84" s="23" t="s">
        <v>544</v>
      </c>
      <c r="B84" s="23" t="s">
        <v>33</v>
      </c>
      <c r="C84" s="24" t="s">
        <v>545</v>
      </c>
      <c r="D84" s="23" t="s">
        <v>14</v>
      </c>
      <c r="E84" s="23" t="s">
        <v>46</v>
      </c>
      <c r="F84" s="23" t="s">
        <v>721</v>
      </c>
      <c r="G84" s="23"/>
      <c r="H84" s="23" t="s">
        <v>142</v>
      </c>
      <c r="I84" s="23" t="s">
        <v>23</v>
      </c>
      <c r="J84" s="23" t="s">
        <v>546</v>
      </c>
      <c r="K84" s="23" t="s">
        <v>5</v>
      </c>
      <c r="L84" s="23" t="s">
        <v>23</v>
      </c>
      <c r="M84" s="23" t="s">
        <v>339</v>
      </c>
      <c r="N84" s="23"/>
      <c r="O84" s="1" t="s">
        <v>38</v>
      </c>
    </row>
    <row r="85" spans="1:15" s="1" customFormat="1" x14ac:dyDescent="0.25">
      <c r="A85" s="23" t="s">
        <v>547</v>
      </c>
      <c r="B85" s="23" t="s">
        <v>94</v>
      </c>
      <c r="C85" s="24" t="s">
        <v>545</v>
      </c>
      <c r="D85" s="23" t="s">
        <v>14</v>
      </c>
      <c r="E85" s="23" t="s">
        <v>46</v>
      </c>
      <c r="F85" s="23" t="s">
        <v>722</v>
      </c>
      <c r="G85" s="23" t="s">
        <v>723</v>
      </c>
      <c r="H85" s="23" t="s">
        <v>548</v>
      </c>
      <c r="I85" s="23" t="s">
        <v>22</v>
      </c>
      <c r="J85" s="23"/>
      <c r="K85" s="23" t="s">
        <v>2</v>
      </c>
      <c r="L85" s="23" t="s">
        <v>43</v>
      </c>
      <c r="M85" s="23" t="s">
        <v>339</v>
      </c>
      <c r="N85" s="23" t="s">
        <v>549</v>
      </c>
      <c r="O85" s="1" t="s">
        <v>38</v>
      </c>
    </row>
    <row r="86" spans="1:15" s="1" customFormat="1" x14ac:dyDescent="0.25">
      <c r="A86" s="23" t="s">
        <v>550</v>
      </c>
      <c r="B86" s="23" t="s">
        <v>98</v>
      </c>
      <c r="C86" s="24" t="s">
        <v>545</v>
      </c>
      <c r="D86" s="23" t="s">
        <v>14</v>
      </c>
      <c r="E86" s="23" t="s">
        <v>81</v>
      </c>
      <c r="F86" s="23" t="s">
        <v>551</v>
      </c>
      <c r="G86" s="23" t="s">
        <v>724</v>
      </c>
      <c r="H86" s="23" t="s">
        <v>552</v>
      </c>
      <c r="I86" s="23" t="s">
        <v>22</v>
      </c>
      <c r="J86" s="23" t="s">
        <v>553</v>
      </c>
      <c r="K86" s="23" t="s">
        <v>5</v>
      </c>
      <c r="L86" s="23" t="s">
        <v>552</v>
      </c>
      <c r="M86" s="23" t="s">
        <v>339</v>
      </c>
      <c r="N86" s="23" t="s">
        <v>554</v>
      </c>
      <c r="O86" s="1" t="s">
        <v>38</v>
      </c>
    </row>
    <row r="87" spans="1:15" s="1" customFormat="1" x14ac:dyDescent="0.25">
      <c r="A87" s="23" t="s">
        <v>555</v>
      </c>
      <c r="B87" s="23" t="s">
        <v>66</v>
      </c>
      <c r="C87" s="24" t="s">
        <v>650</v>
      </c>
      <c r="D87" s="23" t="s">
        <v>14</v>
      </c>
      <c r="E87" s="23" t="s">
        <v>15</v>
      </c>
      <c r="F87" s="23" t="s">
        <v>725</v>
      </c>
      <c r="G87" s="23" t="s">
        <v>726</v>
      </c>
      <c r="H87" s="23" t="s">
        <v>556</v>
      </c>
      <c r="I87" s="23" t="s">
        <v>22</v>
      </c>
      <c r="J87" s="23"/>
      <c r="K87" s="23" t="s">
        <v>0</v>
      </c>
      <c r="L87" s="23" t="s">
        <v>37</v>
      </c>
      <c r="M87" s="23" t="s">
        <v>339</v>
      </c>
      <c r="N87" s="23" t="s">
        <v>557</v>
      </c>
      <c r="O87" s="1" t="s">
        <v>38</v>
      </c>
    </row>
    <row r="88" spans="1:15" s="1" customFormat="1" x14ac:dyDescent="0.25">
      <c r="A88" s="23" t="s">
        <v>558</v>
      </c>
      <c r="B88" s="23" t="s">
        <v>66</v>
      </c>
      <c r="C88" s="24" t="s">
        <v>650</v>
      </c>
      <c r="D88" s="23" t="s">
        <v>14</v>
      </c>
      <c r="E88" s="23" t="s">
        <v>46</v>
      </c>
      <c r="F88" s="23" t="s">
        <v>727</v>
      </c>
      <c r="G88" s="23" t="s">
        <v>728</v>
      </c>
      <c r="H88" s="23" t="s">
        <v>556</v>
      </c>
      <c r="I88" s="23" t="s">
        <v>22</v>
      </c>
      <c r="J88" s="23"/>
      <c r="K88" s="23" t="s">
        <v>0</v>
      </c>
      <c r="L88" s="23" t="s">
        <v>37</v>
      </c>
      <c r="M88" s="23" t="s">
        <v>339</v>
      </c>
      <c r="N88" s="23"/>
      <c r="O88" s="1" t="s">
        <v>38</v>
      </c>
    </row>
    <row r="89" spans="1:15" s="1" customFormat="1" x14ac:dyDescent="0.25">
      <c r="A89" s="23" t="s">
        <v>559</v>
      </c>
      <c r="B89" s="23" t="s">
        <v>91</v>
      </c>
      <c r="C89" s="24" t="s">
        <v>650</v>
      </c>
      <c r="D89" s="23" t="s">
        <v>14</v>
      </c>
      <c r="E89" s="23" t="s">
        <v>15</v>
      </c>
      <c r="F89" s="23" t="s">
        <v>729</v>
      </c>
      <c r="G89" s="23" t="s">
        <v>730</v>
      </c>
      <c r="H89" s="23" t="s">
        <v>142</v>
      </c>
      <c r="I89" s="23" t="s">
        <v>22</v>
      </c>
      <c r="J89" s="23"/>
      <c r="K89" s="23" t="s">
        <v>0</v>
      </c>
      <c r="L89" s="23" t="s">
        <v>17</v>
      </c>
      <c r="M89" s="23" t="s">
        <v>339</v>
      </c>
      <c r="N89" s="23"/>
      <c r="O89" s="1" t="s">
        <v>38</v>
      </c>
    </row>
    <row r="90" spans="1:15" s="1" customFormat="1" x14ac:dyDescent="0.25">
      <c r="A90" s="23" t="s">
        <v>560</v>
      </c>
      <c r="B90" s="23" t="s">
        <v>91</v>
      </c>
      <c r="C90" s="24" t="s">
        <v>650</v>
      </c>
      <c r="D90" s="23" t="s">
        <v>14</v>
      </c>
      <c r="E90" s="23" t="s">
        <v>15</v>
      </c>
      <c r="F90" s="23" t="s">
        <v>561</v>
      </c>
      <c r="G90" s="23" t="s">
        <v>731</v>
      </c>
      <c r="H90" s="23" t="s">
        <v>139</v>
      </c>
      <c r="I90" s="23" t="s">
        <v>22</v>
      </c>
      <c r="J90" s="23"/>
      <c r="K90" s="23" t="s">
        <v>0</v>
      </c>
      <c r="L90" s="23" t="s">
        <v>17</v>
      </c>
      <c r="M90" s="23" t="s">
        <v>339</v>
      </c>
      <c r="N90" s="23" t="s">
        <v>562</v>
      </c>
      <c r="O90" s="1" t="s">
        <v>38</v>
      </c>
    </row>
    <row r="91" spans="1:15" s="1" customFormat="1" x14ac:dyDescent="0.25">
      <c r="A91" s="23" t="s">
        <v>563</v>
      </c>
      <c r="B91" s="23" t="s">
        <v>94</v>
      </c>
      <c r="C91" s="24" t="s">
        <v>564</v>
      </c>
      <c r="D91" s="23" t="s">
        <v>14</v>
      </c>
      <c r="E91" s="23" t="s">
        <v>72</v>
      </c>
      <c r="F91" s="23" t="s">
        <v>732</v>
      </c>
      <c r="G91" s="23" t="s">
        <v>733</v>
      </c>
      <c r="H91" s="23" t="s">
        <v>142</v>
      </c>
      <c r="I91" s="23" t="s">
        <v>22</v>
      </c>
      <c r="J91" s="23"/>
      <c r="K91" s="23" t="s">
        <v>2</v>
      </c>
      <c r="L91" s="23" t="s">
        <v>17</v>
      </c>
      <c r="M91" s="23" t="s">
        <v>339</v>
      </c>
      <c r="N91" s="23"/>
      <c r="O91" s="1" t="s">
        <v>38</v>
      </c>
    </row>
    <row r="92" spans="1:15" s="1" customFormat="1" x14ac:dyDescent="0.25">
      <c r="A92" s="23" t="s">
        <v>565</v>
      </c>
      <c r="B92" s="23" t="s">
        <v>91</v>
      </c>
      <c r="C92" s="24" t="s">
        <v>545</v>
      </c>
      <c r="D92" s="23" t="s">
        <v>14</v>
      </c>
      <c r="E92" s="23" t="s">
        <v>72</v>
      </c>
      <c r="F92" s="23" t="s">
        <v>734</v>
      </c>
      <c r="G92" s="23" t="s">
        <v>735</v>
      </c>
      <c r="H92" s="23" t="s">
        <v>142</v>
      </c>
      <c r="I92" s="23" t="s">
        <v>22</v>
      </c>
      <c r="J92" s="23"/>
      <c r="K92" s="23" t="s">
        <v>2</v>
      </c>
      <c r="L92" s="23" t="s">
        <v>17</v>
      </c>
      <c r="M92" s="23" t="s">
        <v>339</v>
      </c>
      <c r="N92" s="23"/>
      <c r="O92" s="1" t="s">
        <v>38</v>
      </c>
    </row>
    <row r="93" spans="1:15" s="1" customFormat="1" x14ac:dyDescent="0.25">
      <c r="A93" s="23" t="s">
        <v>566</v>
      </c>
      <c r="B93" s="23" t="s">
        <v>92</v>
      </c>
      <c r="C93" s="24" t="s">
        <v>528</v>
      </c>
      <c r="D93" s="23" t="s">
        <v>19</v>
      </c>
      <c r="E93" s="23" t="s">
        <v>57</v>
      </c>
      <c r="F93" s="23" t="s">
        <v>567</v>
      </c>
      <c r="G93" s="23" t="s">
        <v>568</v>
      </c>
      <c r="H93" s="23" t="s">
        <v>569</v>
      </c>
      <c r="I93" s="23" t="s">
        <v>22</v>
      </c>
      <c r="J93" s="23"/>
      <c r="K93" s="23" t="s">
        <v>2</v>
      </c>
      <c r="L93" s="23" t="s">
        <v>37</v>
      </c>
      <c r="M93" s="23" t="s">
        <v>339</v>
      </c>
      <c r="N93" s="23"/>
      <c r="O93" s="1" t="s">
        <v>38</v>
      </c>
    </row>
    <row r="94" spans="1:15" s="1" customFormat="1" x14ac:dyDescent="0.25">
      <c r="A94" s="23" t="s">
        <v>570</v>
      </c>
      <c r="B94" s="23" t="s">
        <v>92</v>
      </c>
      <c r="C94" s="24" t="s">
        <v>528</v>
      </c>
      <c r="D94" s="23" t="s">
        <v>19</v>
      </c>
      <c r="E94" s="23" t="s">
        <v>23</v>
      </c>
      <c r="F94" s="23" t="s">
        <v>571</v>
      </c>
      <c r="G94" s="23" t="s">
        <v>736</v>
      </c>
      <c r="H94" s="23" t="s">
        <v>572</v>
      </c>
      <c r="I94" s="23" t="s">
        <v>22</v>
      </c>
      <c r="J94" s="23"/>
      <c r="K94" s="23" t="s">
        <v>2</v>
      </c>
      <c r="L94" s="23" t="s">
        <v>25</v>
      </c>
      <c r="M94" s="23" t="s">
        <v>339</v>
      </c>
      <c r="N94" s="23"/>
      <c r="O94" s="1" t="s">
        <v>38</v>
      </c>
    </row>
    <row r="95" spans="1:15" s="1" customFormat="1" x14ac:dyDescent="0.25">
      <c r="A95" s="23" t="s">
        <v>573</v>
      </c>
      <c r="B95" s="23" t="s">
        <v>91</v>
      </c>
      <c r="C95" s="24" t="s">
        <v>574</v>
      </c>
      <c r="D95" s="23" t="s">
        <v>19</v>
      </c>
      <c r="E95" s="23" t="s">
        <v>57</v>
      </c>
      <c r="F95" s="23" t="s">
        <v>575</v>
      </c>
      <c r="G95" s="23" t="s">
        <v>737</v>
      </c>
      <c r="H95" s="23" t="s">
        <v>576</v>
      </c>
      <c r="I95" s="23" t="s">
        <v>22</v>
      </c>
      <c r="J95" s="23"/>
      <c r="K95" s="23" t="s">
        <v>2</v>
      </c>
      <c r="L95" s="23" t="s">
        <v>43</v>
      </c>
      <c r="M95" s="23" t="s">
        <v>339</v>
      </c>
      <c r="N95" s="23" t="s">
        <v>577</v>
      </c>
      <c r="O95" s="1" t="s">
        <v>38</v>
      </c>
    </row>
    <row r="96" spans="1:15" s="1" customFormat="1" x14ac:dyDescent="0.25">
      <c r="A96" s="23" t="s">
        <v>412</v>
      </c>
      <c r="B96" s="23" t="s">
        <v>13</v>
      </c>
      <c r="C96" s="24" t="s">
        <v>586</v>
      </c>
      <c r="D96" s="23" t="s">
        <v>14</v>
      </c>
      <c r="E96" s="23" t="s">
        <v>81</v>
      </c>
      <c r="F96" s="23" t="s">
        <v>738</v>
      </c>
      <c r="G96" s="23" t="s">
        <v>739</v>
      </c>
      <c r="H96" s="23" t="s">
        <v>415</v>
      </c>
      <c r="I96" s="23" t="s">
        <v>22</v>
      </c>
      <c r="J96" s="23"/>
      <c r="K96" s="23" t="s">
        <v>0</v>
      </c>
      <c r="L96" s="23" t="s">
        <v>43</v>
      </c>
      <c r="M96" s="23" t="s">
        <v>339</v>
      </c>
      <c r="N96" s="23" t="s">
        <v>580</v>
      </c>
      <c r="O96" s="1" t="s">
        <v>38</v>
      </c>
    </row>
    <row r="97" spans="1:15" s="1" customFormat="1" x14ac:dyDescent="0.25">
      <c r="A97" s="23" t="s">
        <v>581</v>
      </c>
      <c r="B97" s="23" t="s">
        <v>94</v>
      </c>
      <c r="C97" s="24" t="s">
        <v>586</v>
      </c>
      <c r="D97" s="23" t="s">
        <v>14</v>
      </c>
      <c r="E97" s="23" t="s">
        <v>48</v>
      </c>
      <c r="F97" s="23" t="s">
        <v>740</v>
      </c>
      <c r="G97" s="23" t="s">
        <v>741</v>
      </c>
      <c r="H97" s="23" t="s">
        <v>582</v>
      </c>
      <c r="I97" s="23" t="s">
        <v>51</v>
      </c>
      <c r="J97" s="23"/>
      <c r="K97" s="23" t="s">
        <v>0</v>
      </c>
      <c r="L97" s="23" t="s">
        <v>43</v>
      </c>
      <c r="M97" s="23" t="s">
        <v>339</v>
      </c>
      <c r="N97" s="23"/>
      <c r="O97" s="1" t="s">
        <v>38</v>
      </c>
    </row>
    <row r="98" spans="1:15" s="1" customFormat="1" x14ac:dyDescent="0.25">
      <c r="A98" s="23" t="s">
        <v>583</v>
      </c>
      <c r="B98" s="23" t="s">
        <v>94</v>
      </c>
      <c r="C98" s="24" t="s">
        <v>586</v>
      </c>
      <c r="D98" s="23" t="s">
        <v>14</v>
      </c>
      <c r="E98" s="23" t="s">
        <v>15</v>
      </c>
      <c r="F98" s="23" t="s">
        <v>742</v>
      </c>
      <c r="G98" s="23" t="s">
        <v>743</v>
      </c>
      <c r="H98" s="23" t="s">
        <v>142</v>
      </c>
      <c r="I98" s="23" t="s">
        <v>22</v>
      </c>
      <c r="J98" s="23"/>
      <c r="K98" s="23" t="s">
        <v>0</v>
      </c>
      <c r="L98" s="23" t="s">
        <v>17</v>
      </c>
      <c r="M98" s="23" t="s">
        <v>339</v>
      </c>
      <c r="N98" s="23" t="s">
        <v>584</v>
      </c>
      <c r="O98" s="1" t="s">
        <v>38</v>
      </c>
    </row>
    <row r="99" spans="1:15" s="1" customFormat="1" x14ac:dyDescent="0.25">
      <c r="A99" s="23" t="s">
        <v>585</v>
      </c>
      <c r="B99" s="23" t="s">
        <v>33</v>
      </c>
      <c r="C99" s="24" t="s">
        <v>586</v>
      </c>
      <c r="D99" s="23" t="s">
        <v>14</v>
      </c>
      <c r="E99" s="23" t="s">
        <v>15</v>
      </c>
      <c r="F99" s="23" t="s">
        <v>587</v>
      </c>
      <c r="G99" s="23"/>
      <c r="H99" s="23" t="s">
        <v>466</v>
      </c>
      <c r="I99" s="23" t="s">
        <v>22</v>
      </c>
      <c r="J99" s="23"/>
      <c r="K99" s="23" t="s">
        <v>5</v>
      </c>
      <c r="L99" s="23" t="s">
        <v>53</v>
      </c>
      <c r="M99" s="23" t="s">
        <v>339</v>
      </c>
      <c r="N99" s="23" t="s">
        <v>588</v>
      </c>
      <c r="O99" s="1" t="s">
        <v>38</v>
      </c>
    </row>
    <row r="100" spans="1:15" s="1" customFormat="1" x14ac:dyDescent="0.25">
      <c r="A100" s="23" t="s">
        <v>589</v>
      </c>
      <c r="B100" s="23" t="s">
        <v>33</v>
      </c>
      <c r="C100" s="24" t="s">
        <v>586</v>
      </c>
      <c r="D100" s="23" t="s">
        <v>14</v>
      </c>
      <c r="E100" s="23" t="s">
        <v>48</v>
      </c>
      <c r="F100" s="23" t="s">
        <v>590</v>
      </c>
      <c r="G100" s="23"/>
      <c r="H100" s="23" t="s">
        <v>591</v>
      </c>
      <c r="I100" s="23" t="s">
        <v>51</v>
      </c>
      <c r="J100" s="23" t="s">
        <v>592</v>
      </c>
      <c r="K100" s="23" t="s">
        <v>5</v>
      </c>
      <c r="L100" s="23" t="s">
        <v>25</v>
      </c>
      <c r="M100" s="23" t="s">
        <v>339</v>
      </c>
      <c r="N100" s="23"/>
      <c r="O100" s="1" t="s">
        <v>38</v>
      </c>
    </row>
    <row r="101" spans="1:15" s="1" customFormat="1" x14ac:dyDescent="0.25">
      <c r="A101" s="23" t="s">
        <v>593</v>
      </c>
      <c r="B101" s="23" t="s">
        <v>92</v>
      </c>
      <c r="C101" s="24" t="s">
        <v>586</v>
      </c>
      <c r="D101" s="23" t="s">
        <v>14</v>
      </c>
      <c r="E101" s="23" t="s">
        <v>50</v>
      </c>
      <c r="F101" s="23" t="s">
        <v>744</v>
      </c>
      <c r="G101" s="23" t="s">
        <v>745</v>
      </c>
      <c r="H101" s="23" t="s">
        <v>594</v>
      </c>
      <c r="I101" s="23" t="s">
        <v>23</v>
      </c>
      <c r="J101" s="23" t="s">
        <v>595</v>
      </c>
      <c r="K101" s="23" t="s">
        <v>1</v>
      </c>
      <c r="L101" s="23" t="s">
        <v>23</v>
      </c>
      <c r="M101" s="23" t="s">
        <v>339</v>
      </c>
      <c r="N101" s="23"/>
      <c r="O101" s="1" t="s">
        <v>38</v>
      </c>
    </row>
    <row r="102" spans="1:15" s="1" customFormat="1" x14ac:dyDescent="0.25">
      <c r="A102" s="23" t="s">
        <v>596</v>
      </c>
      <c r="B102" s="23" t="s">
        <v>94</v>
      </c>
      <c r="C102" s="24" t="s">
        <v>586</v>
      </c>
      <c r="D102" s="23" t="s">
        <v>14</v>
      </c>
      <c r="E102" s="23" t="s">
        <v>46</v>
      </c>
      <c r="F102" s="23" t="s">
        <v>746</v>
      </c>
      <c r="G102" s="23" t="s">
        <v>597</v>
      </c>
      <c r="H102" s="23" t="s">
        <v>598</v>
      </c>
      <c r="I102" s="23" t="s">
        <v>22</v>
      </c>
      <c r="J102" s="23"/>
      <c r="K102" s="23" t="s">
        <v>0</v>
      </c>
      <c r="L102" s="23" t="s">
        <v>56</v>
      </c>
      <c r="M102" s="23" t="s">
        <v>339</v>
      </c>
      <c r="N102" s="23"/>
      <c r="O102" s="1" t="s">
        <v>38</v>
      </c>
    </row>
    <row r="103" spans="1:15" s="1" customFormat="1" x14ac:dyDescent="0.25">
      <c r="A103" s="23" t="s">
        <v>599</v>
      </c>
      <c r="B103" s="23" t="s">
        <v>90</v>
      </c>
      <c r="C103" s="24" t="s">
        <v>586</v>
      </c>
      <c r="D103" s="23" t="s">
        <v>14</v>
      </c>
      <c r="E103" s="23" t="s">
        <v>15</v>
      </c>
      <c r="F103" s="23" t="s">
        <v>747</v>
      </c>
      <c r="G103" s="23" t="s">
        <v>748</v>
      </c>
      <c r="H103" s="23" t="s">
        <v>142</v>
      </c>
      <c r="I103" s="23" t="s">
        <v>22</v>
      </c>
      <c r="J103" s="23"/>
      <c r="K103" s="23" t="s">
        <v>0</v>
      </c>
      <c r="L103" s="23" t="s">
        <v>17</v>
      </c>
      <c r="M103" s="23" t="s">
        <v>339</v>
      </c>
      <c r="N103" s="23" t="s">
        <v>600</v>
      </c>
      <c r="O103" s="1" t="s">
        <v>38</v>
      </c>
    </row>
    <row r="104" spans="1:15" s="1" customFormat="1" x14ac:dyDescent="0.25">
      <c r="A104" s="23" t="s">
        <v>601</v>
      </c>
      <c r="B104" s="23" t="s">
        <v>33</v>
      </c>
      <c r="C104" s="24" t="s">
        <v>586</v>
      </c>
      <c r="D104" s="23" t="s">
        <v>14</v>
      </c>
      <c r="E104" s="23" t="s">
        <v>76</v>
      </c>
      <c r="F104" s="23" t="s">
        <v>749</v>
      </c>
      <c r="G104" s="23"/>
      <c r="H104" s="23" t="s">
        <v>602</v>
      </c>
      <c r="I104" s="23" t="s">
        <v>23</v>
      </c>
      <c r="J104" s="23" t="s">
        <v>603</v>
      </c>
      <c r="K104" s="23" t="s">
        <v>5</v>
      </c>
      <c r="L104" s="23" t="s">
        <v>35</v>
      </c>
      <c r="M104" s="23" t="s">
        <v>339</v>
      </c>
      <c r="N104" s="23"/>
      <c r="O104" s="1" t="s">
        <v>38</v>
      </c>
    </row>
    <row r="105" spans="1:15" s="1" customFormat="1" x14ac:dyDescent="0.25">
      <c r="A105" s="23" t="s">
        <v>604</v>
      </c>
      <c r="B105" s="23" t="s">
        <v>99</v>
      </c>
      <c r="C105" s="24" t="s">
        <v>586</v>
      </c>
      <c r="D105" s="23" t="s">
        <v>19</v>
      </c>
      <c r="E105" s="23" t="s">
        <v>46</v>
      </c>
      <c r="F105" s="23" t="s">
        <v>750</v>
      </c>
      <c r="G105" s="23" t="s">
        <v>751</v>
      </c>
      <c r="H105" s="23" t="s">
        <v>605</v>
      </c>
      <c r="I105" s="23" t="s">
        <v>22</v>
      </c>
      <c r="J105" s="23"/>
      <c r="K105" s="23" t="s">
        <v>0</v>
      </c>
      <c r="L105" s="23" t="s">
        <v>37</v>
      </c>
      <c r="M105" s="23" t="s">
        <v>339</v>
      </c>
      <c r="N105" s="23"/>
      <c r="O105" s="1" t="s">
        <v>38</v>
      </c>
    </row>
    <row r="106" spans="1:15" s="1" customFormat="1" x14ac:dyDescent="0.25">
      <c r="A106" s="23" t="s">
        <v>606</v>
      </c>
      <c r="B106" s="23" t="s">
        <v>33</v>
      </c>
      <c r="C106" s="24" t="s">
        <v>607</v>
      </c>
      <c r="D106" s="23" t="s">
        <v>14</v>
      </c>
      <c r="E106" s="23" t="s">
        <v>23</v>
      </c>
      <c r="F106" s="23" t="s">
        <v>608</v>
      </c>
      <c r="G106" s="23"/>
      <c r="H106" s="23" t="s">
        <v>609</v>
      </c>
      <c r="I106" s="23" t="s">
        <v>22</v>
      </c>
      <c r="J106" s="23"/>
      <c r="K106" s="23" t="s">
        <v>5</v>
      </c>
      <c r="L106" s="23" t="s">
        <v>37</v>
      </c>
      <c r="M106" s="23" t="s">
        <v>339</v>
      </c>
      <c r="N106" s="23" t="s">
        <v>610</v>
      </c>
      <c r="O106" s="1" t="s">
        <v>38</v>
      </c>
    </row>
    <row r="107" spans="1:15" s="1" customFormat="1" x14ac:dyDescent="0.25">
      <c r="A107" s="23" t="s">
        <v>615</v>
      </c>
      <c r="B107" s="23" t="s">
        <v>91</v>
      </c>
      <c r="C107" s="24" t="s">
        <v>607</v>
      </c>
      <c r="D107" s="23" t="s">
        <v>19</v>
      </c>
      <c r="E107" s="23" t="s">
        <v>20</v>
      </c>
      <c r="F107" s="23" t="s">
        <v>616</v>
      </c>
      <c r="G107" s="23" t="s">
        <v>617</v>
      </c>
      <c r="H107" s="23" t="s">
        <v>142</v>
      </c>
      <c r="I107" s="23"/>
      <c r="J107" s="23" t="s">
        <v>618</v>
      </c>
      <c r="K107" s="23" t="s">
        <v>611</v>
      </c>
      <c r="L107" s="23"/>
      <c r="M107" s="23" t="s">
        <v>339</v>
      </c>
      <c r="N107" s="23"/>
      <c r="O107" s="1" t="s">
        <v>38</v>
      </c>
    </row>
    <row r="108" spans="1:15" s="1" customFormat="1" x14ac:dyDescent="0.25">
      <c r="A108" s="23" t="s">
        <v>619</v>
      </c>
      <c r="B108" s="23" t="s">
        <v>353</v>
      </c>
      <c r="C108" s="24" t="s">
        <v>620</v>
      </c>
      <c r="D108" s="23" t="s">
        <v>19</v>
      </c>
      <c r="E108" s="23" t="s">
        <v>20</v>
      </c>
      <c r="F108" s="23" t="s">
        <v>621</v>
      </c>
      <c r="G108" s="23" t="s">
        <v>752</v>
      </c>
      <c r="H108" s="23" t="s">
        <v>622</v>
      </c>
      <c r="I108" s="23"/>
      <c r="J108" s="23"/>
      <c r="K108" s="23" t="s">
        <v>2</v>
      </c>
      <c r="L108" s="23"/>
      <c r="M108" s="23" t="s">
        <v>339</v>
      </c>
      <c r="N108" s="23"/>
      <c r="O108" s="1" t="s">
        <v>38</v>
      </c>
    </row>
    <row r="109" spans="1:15" s="1" customFormat="1" x14ac:dyDescent="0.25">
      <c r="A109" s="23" t="s">
        <v>623</v>
      </c>
      <c r="B109" s="23" t="s">
        <v>33</v>
      </c>
      <c r="C109" s="24" t="s">
        <v>607</v>
      </c>
      <c r="D109" s="23" t="s">
        <v>14</v>
      </c>
      <c r="E109" s="23" t="s">
        <v>48</v>
      </c>
      <c r="F109" s="23" t="s">
        <v>407</v>
      </c>
      <c r="G109" s="23"/>
      <c r="H109" s="23" t="s">
        <v>624</v>
      </c>
      <c r="I109" s="23" t="s">
        <v>51</v>
      </c>
      <c r="J109" s="23"/>
      <c r="K109" s="23" t="s">
        <v>5</v>
      </c>
      <c r="L109" s="23" t="s">
        <v>43</v>
      </c>
      <c r="M109" s="23" t="s">
        <v>339</v>
      </c>
      <c r="N109" s="23"/>
      <c r="O109" s="1" t="s">
        <v>38</v>
      </c>
    </row>
    <row r="110" spans="1:15" s="1" customFormat="1" x14ac:dyDescent="0.25">
      <c r="A110" s="23" t="s">
        <v>625</v>
      </c>
      <c r="B110" s="23" t="s">
        <v>94</v>
      </c>
      <c r="C110" s="24" t="s">
        <v>607</v>
      </c>
      <c r="D110" s="23" t="s">
        <v>14</v>
      </c>
      <c r="E110" s="23" t="s">
        <v>46</v>
      </c>
      <c r="F110" s="23" t="s">
        <v>753</v>
      </c>
      <c r="G110" s="23" t="s">
        <v>754</v>
      </c>
      <c r="H110" s="23" t="s">
        <v>626</v>
      </c>
      <c r="I110" s="23" t="s">
        <v>32</v>
      </c>
      <c r="J110" s="23" t="s">
        <v>627</v>
      </c>
      <c r="K110" s="23" t="s">
        <v>0</v>
      </c>
      <c r="L110" s="23" t="s">
        <v>39</v>
      </c>
      <c r="M110" s="23" t="s">
        <v>339</v>
      </c>
      <c r="N110" s="23"/>
      <c r="O110" s="1" t="s">
        <v>38</v>
      </c>
    </row>
    <row r="111" spans="1:15" s="1" customFormat="1" x14ac:dyDescent="0.25">
      <c r="A111" s="23" t="s">
        <v>628</v>
      </c>
      <c r="B111" s="23" t="s">
        <v>98</v>
      </c>
      <c r="C111" s="24" t="s">
        <v>607</v>
      </c>
      <c r="D111" s="23" t="s">
        <v>19</v>
      </c>
      <c r="E111" s="23" t="s">
        <v>23</v>
      </c>
      <c r="F111" s="23" t="s">
        <v>629</v>
      </c>
      <c r="G111" s="23" t="s">
        <v>755</v>
      </c>
      <c r="H111" s="23" t="s">
        <v>630</v>
      </c>
      <c r="I111" s="23" t="s">
        <v>23</v>
      </c>
      <c r="J111" s="23" t="s">
        <v>631</v>
      </c>
      <c r="K111" s="23" t="s">
        <v>611</v>
      </c>
      <c r="L111" s="23" t="s">
        <v>37</v>
      </c>
      <c r="M111" s="23" t="s">
        <v>339</v>
      </c>
      <c r="N111" s="23"/>
      <c r="O111" s="1" t="s">
        <v>38</v>
      </c>
    </row>
    <row r="112" spans="1:15" s="1" customFormat="1" x14ac:dyDescent="0.25">
      <c r="A112" s="23" t="s">
        <v>632</v>
      </c>
      <c r="B112" s="23" t="s">
        <v>98</v>
      </c>
      <c r="C112" s="24" t="s">
        <v>607</v>
      </c>
      <c r="D112" s="23" t="s">
        <v>14</v>
      </c>
      <c r="E112" s="23" t="s">
        <v>46</v>
      </c>
      <c r="F112" s="23" t="s">
        <v>633</v>
      </c>
      <c r="G112" s="23" t="s">
        <v>756</v>
      </c>
      <c r="H112" s="23" t="s">
        <v>331</v>
      </c>
      <c r="I112" s="23" t="s">
        <v>22</v>
      </c>
      <c r="J112" s="23" t="s">
        <v>634</v>
      </c>
      <c r="K112" s="23" t="s">
        <v>611</v>
      </c>
      <c r="L112" s="23" t="s">
        <v>53</v>
      </c>
      <c r="M112" s="23" t="s">
        <v>339</v>
      </c>
      <c r="N112" s="23"/>
      <c r="O112" s="1" t="s">
        <v>38</v>
      </c>
    </row>
    <row r="113" spans="1:15" s="1" customFormat="1" x14ac:dyDescent="0.25">
      <c r="A113" s="23" t="s">
        <v>635</v>
      </c>
      <c r="B113" s="23" t="s">
        <v>33</v>
      </c>
      <c r="C113" s="24" t="s">
        <v>607</v>
      </c>
      <c r="D113" s="23" t="s">
        <v>14</v>
      </c>
      <c r="E113" s="23" t="s">
        <v>46</v>
      </c>
      <c r="F113" s="23" t="s">
        <v>757</v>
      </c>
      <c r="G113" s="23" t="s">
        <v>758</v>
      </c>
      <c r="H113" s="23" t="s">
        <v>636</v>
      </c>
      <c r="I113" s="23" t="s">
        <v>22</v>
      </c>
      <c r="J113" s="23"/>
      <c r="K113" s="23" t="s">
        <v>5</v>
      </c>
      <c r="L113" s="23" t="s">
        <v>25</v>
      </c>
      <c r="M113" s="23" t="s">
        <v>339</v>
      </c>
      <c r="N113" s="23"/>
      <c r="O113" s="1" t="s">
        <v>38</v>
      </c>
    </row>
    <row r="114" spans="1:15" s="1" customFormat="1" x14ac:dyDescent="0.25">
      <c r="A114" s="23" t="s">
        <v>637</v>
      </c>
      <c r="B114" s="23" t="s">
        <v>353</v>
      </c>
      <c r="C114" s="24" t="s">
        <v>607</v>
      </c>
      <c r="D114" s="23" t="s">
        <v>14</v>
      </c>
      <c r="E114" s="23" t="s">
        <v>23</v>
      </c>
      <c r="F114" s="23" t="s">
        <v>759</v>
      </c>
      <c r="G114" s="23" t="s">
        <v>760</v>
      </c>
      <c r="H114" s="23" t="s">
        <v>638</v>
      </c>
      <c r="I114" s="23" t="s">
        <v>22</v>
      </c>
      <c r="J114" s="23" t="s">
        <v>639</v>
      </c>
      <c r="K114" s="23" t="s">
        <v>2</v>
      </c>
      <c r="L114" s="23" t="s">
        <v>39</v>
      </c>
      <c r="M114" s="23" t="s">
        <v>640</v>
      </c>
      <c r="N114" s="23" t="s">
        <v>641</v>
      </c>
      <c r="O114" s="1" t="s">
        <v>38</v>
      </c>
    </row>
    <row r="115" spans="1:15" s="1" customFormat="1" x14ac:dyDescent="0.25">
      <c r="A115" s="23" t="s">
        <v>642</v>
      </c>
      <c r="B115" s="23" t="s">
        <v>91</v>
      </c>
      <c r="C115" s="24" t="s">
        <v>643</v>
      </c>
      <c r="D115" s="23" t="s">
        <v>14</v>
      </c>
      <c r="E115" s="23" t="s">
        <v>81</v>
      </c>
      <c r="F115" s="23" t="s">
        <v>644</v>
      </c>
      <c r="G115" s="23" t="s">
        <v>645</v>
      </c>
      <c r="H115" s="23" t="s">
        <v>646</v>
      </c>
      <c r="I115" s="23" t="s">
        <v>22</v>
      </c>
      <c r="J115" s="23"/>
      <c r="K115" s="23" t="s">
        <v>5</v>
      </c>
      <c r="L115" s="23" t="s">
        <v>43</v>
      </c>
      <c r="M115" s="23" t="s">
        <v>339</v>
      </c>
      <c r="N115" s="23" t="s">
        <v>647</v>
      </c>
      <c r="O115" s="1" t="s">
        <v>38</v>
      </c>
    </row>
    <row r="116" spans="1:15" s="1" customFormat="1" x14ac:dyDescent="0.25">
      <c r="A116" s="23" t="s">
        <v>648</v>
      </c>
      <c r="B116" s="23" t="s">
        <v>91</v>
      </c>
      <c r="C116" s="24" t="s">
        <v>607</v>
      </c>
      <c r="D116" s="23" t="s">
        <v>14</v>
      </c>
      <c r="E116" s="23" t="s">
        <v>46</v>
      </c>
      <c r="F116" s="23" t="s">
        <v>761</v>
      </c>
      <c r="G116" s="23" t="s">
        <v>762</v>
      </c>
      <c r="H116" s="23" t="s">
        <v>317</v>
      </c>
      <c r="I116" s="23" t="s">
        <v>22</v>
      </c>
      <c r="J116" s="23"/>
      <c r="K116" s="23" t="s">
        <v>0</v>
      </c>
      <c r="L116" s="23" t="s">
        <v>37</v>
      </c>
      <c r="M116" s="23" t="s">
        <v>339</v>
      </c>
      <c r="N116" s="23" t="s">
        <v>288</v>
      </c>
      <c r="O116" s="1" t="s">
        <v>38</v>
      </c>
    </row>
    <row r="117" spans="1:15" s="1" customFormat="1" x14ac:dyDescent="0.25">
      <c r="A117" s="23" t="s">
        <v>763</v>
      </c>
      <c r="B117" s="23" t="s">
        <v>352</v>
      </c>
      <c r="C117" s="24" t="s">
        <v>643</v>
      </c>
      <c r="D117" s="23" t="s">
        <v>14</v>
      </c>
      <c r="E117" s="23" t="s">
        <v>81</v>
      </c>
      <c r="F117" s="23" t="s">
        <v>764</v>
      </c>
      <c r="G117" s="23"/>
      <c r="H117" s="23" t="s">
        <v>765</v>
      </c>
      <c r="I117" s="23" t="s">
        <v>51</v>
      </c>
      <c r="J117" s="23" t="s">
        <v>766</v>
      </c>
      <c r="K117" s="23" t="s">
        <v>5</v>
      </c>
      <c r="L117" s="23" t="s">
        <v>43</v>
      </c>
      <c r="M117" s="23" t="s">
        <v>767</v>
      </c>
      <c r="N117" s="23"/>
      <c r="O117" s="1" t="s">
        <v>38</v>
      </c>
    </row>
    <row r="118" spans="1:15" s="1" customFormat="1" x14ac:dyDescent="0.25">
      <c r="A118" s="23" t="s">
        <v>768</v>
      </c>
      <c r="B118" s="23" t="s">
        <v>353</v>
      </c>
      <c r="C118" s="24" t="s">
        <v>643</v>
      </c>
      <c r="D118" s="23" t="s">
        <v>14</v>
      </c>
      <c r="E118" s="23" t="s">
        <v>23</v>
      </c>
      <c r="F118" s="23" t="s">
        <v>857</v>
      </c>
      <c r="G118" s="23" t="s">
        <v>769</v>
      </c>
      <c r="H118" s="23" t="s">
        <v>770</v>
      </c>
      <c r="I118" s="23" t="s">
        <v>22</v>
      </c>
      <c r="J118" s="23" t="s">
        <v>771</v>
      </c>
      <c r="K118" s="23" t="s">
        <v>5</v>
      </c>
      <c r="L118" s="23" t="s">
        <v>37</v>
      </c>
      <c r="M118" s="23" t="s">
        <v>339</v>
      </c>
      <c r="N118" s="23" t="s">
        <v>365</v>
      </c>
      <c r="O118" s="1" t="s">
        <v>38</v>
      </c>
    </row>
    <row r="119" spans="1:15" s="1" customFormat="1" x14ac:dyDescent="0.25">
      <c r="A119" s="23" t="s">
        <v>772</v>
      </c>
      <c r="B119" s="23" t="s">
        <v>612</v>
      </c>
      <c r="C119" s="24" t="s">
        <v>643</v>
      </c>
      <c r="D119" s="23" t="s">
        <v>14</v>
      </c>
      <c r="E119" s="23" t="s">
        <v>15</v>
      </c>
      <c r="F119" s="23" t="s">
        <v>773</v>
      </c>
      <c r="G119" s="23" t="s">
        <v>774</v>
      </c>
      <c r="H119" s="23" t="s">
        <v>775</v>
      </c>
      <c r="I119" s="23" t="s">
        <v>22</v>
      </c>
      <c r="J119" s="23" t="s">
        <v>776</v>
      </c>
      <c r="K119" s="23" t="s">
        <v>611</v>
      </c>
      <c r="L119" s="23" t="s">
        <v>23</v>
      </c>
      <c r="M119" s="23" t="s">
        <v>339</v>
      </c>
      <c r="N119" s="23"/>
      <c r="O119" s="1" t="s">
        <v>38</v>
      </c>
    </row>
    <row r="120" spans="1:15" s="1" customFormat="1" x14ac:dyDescent="0.25">
      <c r="A120" s="23" t="s">
        <v>777</v>
      </c>
      <c r="B120" s="23" t="s">
        <v>612</v>
      </c>
      <c r="C120" s="24" t="s">
        <v>643</v>
      </c>
      <c r="D120" s="23" t="s">
        <v>14</v>
      </c>
      <c r="E120" s="23" t="s">
        <v>15</v>
      </c>
      <c r="F120" s="23" t="s">
        <v>858</v>
      </c>
      <c r="G120" s="23" t="s">
        <v>778</v>
      </c>
      <c r="H120" s="23" t="s">
        <v>779</v>
      </c>
      <c r="I120" s="23" t="s">
        <v>22</v>
      </c>
      <c r="J120" s="23" t="s">
        <v>780</v>
      </c>
      <c r="K120" s="23" t="s">
        <v>611</v>
      </c>
      <c r="L120" s="23" t="s">
        <v>23</v>
      </c>
      <c r="M120" s="23" t="s">
        <v>339</v>
      </c>
      <c r="N120" s="23"/>
      <c r="O120" s="1" t="s">
        <v>38</v>
      </c>
    </row>
    <row r="121" spans="1:15" s="1" customFormat="1" x14ac:dyDescent="0.25">
      <c r="A121" s="23" t="s">
        <v>781</v>
      </c>
      <c r="B121" s="23" t="s">
        <v>93</v>
      </c>
      <c r="C121" s="24" t="s">
        <v>782</v>
      </c>
      <c r="D121" s="23" t="s">
        <v>14</v>
      </c>
      <c r="E121" s="23" t="s">
        <v>15</v>
      </c>
      <c r="F121" s="23" t="s">
        <v>859</v>
      </c>
      <c r="G121" s="23" t="s">
        <v>860</v>
      </c>
      <c r="H121" s="23" t="s">
        <v>139</v>
      </c>
      <c r="I121" s="23" t="s">
        <v>16</v>
      </c>
      <c r="J121" s="23"/>
      <c r="K121" s="23" t="s">
        <v>1</v>
      </c>
      <c r="L121" s="23" t="s">
        <v>17</v>
      </c>
      <c r="M121" s="23" t="s">
        <v>339</v>
      </c>
      <c r="N121" s="23"/>
      <c r="O121" s="1" t="s">
        <v>38</v>
      </c>
    </row>
    <row r="122" spans="1:15" s="1" customFormat="1" x14ac:dyDescent="0.25">
      <c r="A122" s="23" t="s">
        <v>783</v>
      </c>
      <c r="B122" s="23" t="s">
        <v>93</v>
      </c>
      <c r="C122" s="24" t="s">
        <v>782</v>
      </c>
      <c r="D122" s="23" t="s">
        <v>14</v>
      </c>
      <c r="E122" s="23" t="s">
        <v>15</v>
      </c>
      <c r="F122" s="23" t="s">
        <v>861</v>
      </c>
      <c r="G122" s="23" t="s">
        <v>862</v>
      </c>
      <c r="H122" s="23" t="s">
        <v>139</v>
      </c>
      <c r="I122" s="23" t="s">
        <v>22</v>
      </c>
      <c r="J122" s="23"/>
      <c r="K122" s="23" t="s">
        <v>1</v>
      </c>
      <c r="L122" s="23" t="s">
        <v>17</v>
      </c>
      <c r="M122" s="23" t="s">
        <v>339</v>
      </c>
      <c r="N122" s="23"/>
      <c r="O122" s="1" t="s">
        <v>38</v>
      </c>
    </row>
    <row r="123" spans="1:15" s="1" customFormat="1" x14ac:dyDescent="0.25">
      <c r="A123" s="23" t="s">
        <v>784</v>
      </c>
      <c r="B123" s="23" t="s">
        <v>353</v>
      </c>
      <c r="C123" s="24" t="s">
        <v>643</v>
      </c>
      <c r="D123" s="23" t="s">
        <v>19</v>
      </c>
      <c r="E123" s="23" t="s">
        <v>57</v>
      </c>
      <c r="F123" s="23" t="s">
        <v>863</v>
      </c>
      <c r="G123" s="23" t="s">
        <v>864</v>
      </c>
      <c r="H123" s="23" t="s">
        <v>785</v>
      </c>
      <c r="I123" s="23" t="s">
        <v>22</v>
      </c>
      <c r="J123" s="23" t="s">
        <v>786</v>
      </c>
      <c r="K123" s="23" t="s">
        <v>0</v>
      </c>
      <c r="L123" s="23" t="s">
        <v>43</v>
      </c>
      <c r="M123" s="23" t="s">
        <v>339</v>
      </c>
      <c r="N123" s="23" t="s">
        <v>787</v>
      </c>
      <c r="O123" s="1" t="s">
        <v>38</v>
      </c>
    </row>
    <row r="124" spans="1:15" s="1" customFormat="1" x14ac:dyDescent="0.25">
      <c r="A124" s="23" t="s">
        <v>788</v>
      </c>
      <c r="B124" s="23" t="s">
        <v>33</v>
      </c>
      <c r="C124" s="24" t="s">
        <v>643</v>
      </c>
      <c r="D124" s="23" t="s">
        <v>14</v>
      </c>
      <c r="E124" s="23" t="s">
        <v>23</v>
      </c>
      <c r="F124" s="23" t="s">
        <v>789</v>
      </c>
      <c r="G124" s="23" t="s">
        <v>790</v>
      </c>
      <c r="H124" s="23" t="s">
        <v>791</v>
      </c>
      <c r="I124" s="23" t="s">
        <v>22</v>
      </c>
      <c r="J124" s="23" t="s">
        <v>792</v>
      </c>
      <c r="K124" s="23" t="s">
        <v>611</v>
      </c>
      <c r="L124" s="23" t="s">
        <v>23</v>
      </c>
      <c r="M124" s="23" t="s">
        <v>339</v>
      </c>
      <c r="N124" s="23"/>
      <c r="O124" s="1" t="s">
        <v>38</v>
      </c>
    </row>
    <row r="125" spans="1:15" s="1" customFormat="1" ht="192" x14ac:dyDescent="0.25">
      <c r="A125" s="23" t="s">
        <v>793</v>
      </c>
      <c r="B125" s="23" t="s">
        <v>353</v>
      </c>
      <c r="C125" s="24" t="s">
        <v>794</v>
      </c>
      <c r="D125" s="23" t="s">
        <v>14</v>
      </c>
      <c r="E125" s="23" t="s">
        <v>15</v>
      </c>
      <c r="F125" s="23" t="s">
        <v>795</v>
      </c>
      <c r="G125" s="23" t="s">
        <v>796</v>
      </c>
      <c r="H125" s="23" t="s">
        <v>797</v>
      </c>
      <c r="I125" s="23" t="s">
        <v>22</v>
      </c>
      <c r="J125" s="26" t="s">
        <v>798</v>
      </c>
      <c r="K125" s="23" t="s">
        <v>5</v>
      </c>
      <c r="L125" s="23" t="s">
        <v>797</v>
      </c>
      <c r="M125" s="23" t="s">
        <v>799</v>
      </c>
      <c r="N125" s="23" t="s">
        <v>800</v>
      </c>
      <c r="O125" s="1" t="s">
        <v>38</v>
      </c>
    </row>
    <row r="126" spans="1:15" s="1" customFormat="1" x14ac:dyDescent="0.25">
      <c r="A126" s="23" t="s">
        <v>801</v>
      </c>
      <c r="B126" s="23" t="s">
        <v>91</v>
      </c>
      <c r="C126" s="24" t="s">
        <v>794</v>
      </c>
      <c r="D126" s="23" t="s">
        <v>14</v>
      </c>
      <c r="E126" s="23" t="s">
        <v>15</v>
      </c>
      <c r="F126" s="23" t="s">
        <v>865</v>
      </c>
      <c r="G126" s="23" t="s">
        <v>866</v>
      </c>
      <c r="H126" s="23" t="s">
        <v>288</v>
      </c>
      <c r="I126" s="23" t="s">
        <v>32</v>
      </c>
      <c r="J126" s="23"/>
      <c r="K126" s="23" t="s">
        <v>2</v>
      </c>
      <c r="L126" s="23" t="s">
        <v>56</v>
      </c>
      <c r="M126" s="23" t="s">
        <v>802</v>
      </c>
      <c r="N126" s="23"/>
      <c r="O126" s="1" t="s">
        <v>38</v>
      </c>
    </row>
    <row r="127" spans="1:15" s="1" customFormat="1" x14ac:dyDescent="0.25">
      <c r="A127" s="23" t="s">
        <v>803</v>
      </c>
      <c r="B127" s="23" t="s">
        <v>91</v>
      </c>
      <c r="C127" s="24" t="s">
        <v>794</v>
      </c>
      <c r="D127" s="23" t="s">
        <v>19</v>
      </c>
      <c r="E127" s="23" t="s">
        <v>57</v>
      </c>
      <c r="F127" s="23" t="s">
        <v>804</v>
      </c>
      <c r="G127" s="23" t="s">
        <v>805</v>
      </c>
      <c r="H127" s="23" t="s">
        <v>806</v>
      </c>
      <c r="I127" s="23" t="s">
        <v>32</v>
      </c>
      <c r="J127" s="23"/>
      <c r="K127" s="23" t="s">
        <v>2</v>
      </c>
      <c r="L127" s="23" t="s">
        <v>37</v>
      </c>
      <c r="M127" s="23" t="s">
        <v>807</v>
      </c>
      <c r="N127" s="23"/>
      <c r="O127" s="1" t="s">
        <v>38</v>
      </c>
    </row>
    <row r="128" spans="1:15" s="1" customFormat="1" x14ac:dyDescent="0.25">
      <c r="A128" s="23" t="s">
        <v>808</v>
      </c>
      <c r="B128" s="23" t="s">
        <v>91</v>
      </c>
      <c r="C128" s="24" t="s">
        <v>586</v>
      </c>
      <c r="D128" s="23" t="s">
        <v>14</v>
      </c>
      <c r="E128" s="23" t="s">
        <v>34</v>
      </c>
      <c r="F128" s="23" t="s">
        <v>867</v>
      </c>
      <c r="G128" s="23" t="s">
        <v>868</v>
      </c>
      <c r="H128" s="23" t="s">
        <v>809</v>
      </c>
      <c r="I128" s="23" t="s">
        <v>51</v>
      </c>
      <c r="J128" s="23"/>
      <c r="K128" s="23" t="s">
        <v>2</v>
      </c>
      <c r="L128" s="23" t="s">
        <v>810</v>
      </c>
      <c r="M128" s="23" t="s">
        <v>811</v>
      </c>
      <c r="N128" s="23"/>
      <c r="O128" s="1" t="s">
        <v>38</v>
      </c>
    </row>
    <row r="129" spans="1:15" s="1" customFormat="1" x14ac:dyDescent="0.25">
      <c r="A129" s="23" t="s">
        <v>812</v>
      </c>
      <c r="B129" s="23" t="s">
        <v>83</v>
      </c>
      <c r="C129" s="24" t="s">
        <v>794</v>
      </c>
      <c r="D129" s="23" t="s">
        <v>14</v>
      </c>
      <c r="E129" s="23" t="s">
        <v>50</v>
      </c>
      <c r="F129" s="23" t="s">
        <v>869</v>
      </c>
      <c r="G129" s="23" t="s">
        <v>870</v>
      </c>
      <c r="H129" s="23" t="s">
        <v>813</v>
      </c>
      <c r="I129" s="23" t="s">
        <v>22</v>
      </c>
      <c r="J129" s="23"/>
      <c r="K129" s="23" t="s">
        <v>0</v>
      </c>
      <c r="L129" s="23" t="s">
        <v>53</v>
      </c>
      <c r="M129" s="63" t="s">
        <v>815</v>
      </c>
      <c r="N129" s="23" t="s">
        <v>814</v>
      </c>
      <c r="O129" s="1" t="s">
        <v>38</v>
      </c>
    </row>
    <row r="130" spans="1:15" s="1" customFormat="1" x14ac:dyDescent="0.25">
      <c r="A130" s="23" t="s">
        <v>816</v>
      </c>
      <c r="B130" s="23" t="s">
        <v>94</v>
      </c>
      <c r="C130" s="24" t="s">
        <v>817</v>
      </c>
      <c r="D130" s="23" t="s">
        <v>14</v>
      </c>
      <c r="E130" s="23" t="s">
        <v>46</v>
      </c>
      <c r="F130" s="23" t="s">
        <v>871</v>
      </c>
      <c r="G130" s="23" t="s">
        <v>872</v>
      </c>
      <c r="H130" s="23" t="s">
        <v>626</v>
      </c>
      <c r="I130" s="23" t="s">
        <v>32</v>
      </c>
      <c r="J130" s="23" t="s">
        <v>818</v>
      </c>
      <c r="K130" s="23" t="s">
        <v>0</v>
      </c>
      <c r="L130" s="23" t="s">
        <v>39</v>
      </c>
      <c r="M130" s="23" t="s">
        <v>339</v>
      </c>
      <c r="N130" s="23"/>
      <c r="O130" s="1" t="s">
        <v>38</v>
      </c>
    </row>
    <row r="131" spans="1:15" s="1" customFormat="1" x14ac:dyDescent="0.25">
      <c r="A131" s="23" t="s">
        <v>819</v>
      </c>
      <c r="B131" s="23" t="s">
        <v>33</v>
      </c>
      <c r="C131" s="24" t="s">
        <v>427</v>
      </c>
      <c r="D131" s="23" t="s">
        <v>820</v>
      </c>
      <c r="E131" s="23" t="s">
        <v>44</v>
      </c>
      <c r="F131" s="23" t="s">
        <v>821</v>
      </c>
      <c r="G131" s="23" t="s">
        <v>873</v>
      </c>
      <c r="H131" s="23" t="s">
        <v>822</v>
      </c>
      <c r="I131" s="23" t="s">
        <v>823</v>
      </c>
      <c r="J131" s="23"/>
      <c r="K131" s="23" t="s">
        <v>2</v>
      </c>
      <c r="L131" s="23" t="s">
        <v>43</v>
      </c>
      <c r="M131" s="23" t="s">
        <v>824</v>
      </c>
      <c r="N131" s="23"/>
      <c r="O131" s="1" t="s">
        <v>38</v>
      </c>
    </row>
    <row r="132" spans="1:15" s="1" customFormat="1" x14ac:dyDescent="0.25">
      <c r="A132" s="23" t="s">
        <v>825</v>
      </c>
      <c r="B132" s="23" t="s">
        <v>33</v>
      </c>
      <c r="C132" s="24" t="s">
        <v>427</v>
      </c>
      <c r="D132" s="23" t="s">
        <v>14</v>
      </c>
      <c r="E132" s="23" t="s">
        <v>48</v>
      </c>
      <c r="F132" s="23" t="s">
        <v>874</v>
      </c>
      <c r="G132" s="23" t="s">
        <v>826</v>
      </c>
      <c r="H132" s="23" t="s">
        <v>827</v>
      </c>
      <c r="I132" s="23" t="s">
        <v>51</v>
      </c>
      <c r="J132" s="23"/>
      <c r="K132" s="23" t="s">
        <v>2</v>
      </c>
      <c r="L132" s="23" t="s">
        <v>828</v>
      </c>
      <c r="M132" s="23" t="s">
        <v>829</v>
      </c>
      <c r="N132" s="23"/>
      <c r="O132" s="1" t="s">
        <v>38</v>
      </c>
    </row>
    <row r="133" spans="1:15" s="1" customFormat="1" x14ac:dyDescent="0.25">
      <c r="A133" s="23" t="s">
        <v>830</v>
      </c>
      <c r="B133" s="23" t="s">
        <v>33</v>
      </c>
      <c r="C133" s="24" t="s">
        <v>427</v>
      </c>
      <c r="D133" s="23" t="s">
        <v>14</v>
      </c>
      <c r="E133" s="23" t="s">
        <v>831</v>
      </c>
      <c r="F133" s="23" t="s">
        <v>875</v>
      </c>
      <c r="G133" s="23" t="s">
        <v>876</v>
      </c>
      <c r="H133" s="23" t="s">
        <v>136</v>
      </c>
      <c r="I133" s="23" t="s">
        <v>22</v>
      </c>
      <c r="J133" s="23" t="s">
        <v>832</v>
      </c>
      <c r="K133" s="23" t="s">
        <v>2</v>
      </c>
      <c r="L133" s="23" t="s">
        <v>35</v>
      </c>
      <c r="M133" s="23" t="s">
        <v>833</v>
      </c>
      <c r="N133" s="23"/>
      <c r="O133" s="1" t="s">
        <v>38</v>
      </c>
    </row>
    <row r="134" spans="1:15" s="1" customFormat="1" x14ac:dyDescent="0.25">
      <c r="A134" s="23" t="s">
        <v>834</v>
      </c>
      <c r="B134" s="23" t="s">
        <v>33</v>
      </c>
      <c r="C134" s="24" t="s">
        <v>427</v>
      </c>
      <c r="D134" s="23" t="s">
        <v>820</v>
      </c>
      <c r="E134" s="23" t="s">
        <v>48</v>
      </c>
      <c r="F134" s="23" t="s">
        <v>835</v>
      </c>
      <c r="G134" s="23" t="s">
        <v>836</v>
      </c>
      <c r="H134" s="23" t="s">
        <v>837</v>
      </c>
      <c r="I134" s="23" t="s">
        <v>51</v>
      </c>
      <c r="J134" s="23"/>
      <c r="K134" s="23" t="s">
        <v>2</v>
      </c>
      <c r="L134" s="23" t="s">
        <v>43</v>
      </c>
      <c r="M134" s="23" t="s">
        <v>838</v>
      </c>
      <c r="N134" s="23"/>
      <c r="O134" s="1" t="s">
        <v>38</v>
      </c>
    </row>
    <row r="135" spans="1:15" s="1" customFormat="1" x14ac:dyDescent="0.25">
      <c r="A135" s="23" t="s">
        <v>839</v>
      </c>
      <c r="B135" s="23" t="s">
        <v>91</v>
      </c>
      <c r="C135" s="24" t="s">
        <v>794</v>
      </c>
      <c r="D135" s="23" t="s">
        <v>14</v>
      </c>
      <c r="E135" s="23" t="s">
        <v>46</v>
      </c>
      <c r="F135" s="23" t="s">
        <v>877</v>
      </c>
      <c r="G135" s="23" t="s">
        <v>878</v>
      </c>
      <c r="H135" s="23" t="s">
        <v>840</v>
      </c>
      <c r="I135" s="23" t="s">
        <v>22</v>
      </c>
      <c r="J135" s="23"/>
      <c r="K135" s="23" t="s">
        <v>2</v>
      </c>
      <c r="L135" s="23" t="s">
        <v>79</v>
      </c>
      <c r="M135" s="23" t="s">
        <v>339</v>
      </c>
      <c r="N135" s="23"/>
      <c r="O135" s="1" t="s">
        <v>38</v>
      </c>
    </row>
    <row r="136" spans="1:15" s="1" customFormat="1" x14ac:dyDescent="0.25">
      <c r="A136" s="23" t="s">
        <v>841</v>
      </c>
      <c r="B136" s="23" t="s">
        <v>353</v>
      </c>
      <c r="C136" s="24" t="s">
        <v>427</v>
      </c>
      <c r="D136" s="23" t="s">
        <v>14</v>
      </c>
      <c r="E136" s="23" t="s">
        <v>15</v>
      </c>
      <c r="F136" s="23" t="s">
        <v>842</v>
      </c>
      <c r="G136" s="23" t="s">
        <v>843</v>
      </c>
      <c r="H136" s="23" t="s">
        <v>365</v>
      </c>
      <c r="I136" s="23" t="s">
        <v>22</v>
      </c>
      <c r="J136" s="23" t="s">
        <v>844</v>
      </c>
      <c r="K136" s="23" t="s">
        <v>611</v>
      </c>
      <c r="L136" s="23" t="s">
        <v>37</v>
      </c>
      <c r="M136" s="23" t="s">
        <v>339</v>
      </c>
      <c r="N136" s="23" t="s">
        <v>845</v>
      </c>
      <c r="O136" s="1" t="s">
        <v>38</v>
      </c>
    </row>
    <row r="137" spans="1:15" s="1" customFormat="1" x14ac:dyDescent="0.25">
      <c r="A137" s="23" t="s">
        <v>846</v>
      </c>
      <c r="B137" s="23" t="s">
        <v>350</v>
      </c>
      <c r="C137" s="24" t="s">
        <v>427</v>
      </c>
      <c r="D137" s="23" t="s">
        <v>14</v>
      </c>
      <c r="E137" s="23" t="s">
        <v>46</v>
      </c>
      <c r="F137" s="23" t="s">
        <v>847</v>
      </c>
      <c r="G137" s="23" t="s">
        <v>848</v>
      </c>
      <c r="H137" s="23" t="s">
        <v>849</v>
      </c>
      <c r="I137" s="23" t="s">
        <v>22</v>
      </c>
      <c r="J137" s="23" t="s">
        <v>850</v>
      </c>
      <c r="K137" s="23" t="s">
        <v>611</v>
      </c>
      <c r="L137" s="23" t="s">
        <v>43</v>
      </c>
      <c r="M137" s="23" t="s">
        <v>339</v>
      </c>
      <c r="N137" s="23"/>
      <c r="O137" s="1" t="s">
        <v>38</v>
      </c>
    </row>
    <row r="138" spans="1:15" s="1" customFormat="1" x14ac:dyDescent="0.25">
      <c r="A138" s="23" t="s">
        <v>851</v>
      </c>
      <c r="B138" s="23" t="s">
        <v>612</v>
      </c>
      <c r="C138" s="24" t="s">
        <v>427</v>
      </c>
      <c r="D138" s="23" t="s">
        <v>14</v>
      </c>
      <c r="E138" s="23" t="s">
        <v>15</v>
      </c>
      <c r="F138" s="23" t="s">
        <v>852</v>
      </c>
      <c r="G138" s="23"/>
      <c r="H138" s="23" t="s">
        <v>853</v>
      </c>
      <c r="I138" s="23" t="s">
        <v>22</v>
      </c>
      <c r="J138" s="23" t="s">
        <v>854</v>
      </c>
      <c r="K138" s="23" t="s">
        <v>611</v>
      </c>
      <c r="L138" s="23" t="s">
        <v>53</v>
      </c>
      <c r="M138" s="23" t="s">
        <v>339</v>
      </c>
      <c r="N138" s="23" t="s">
        <v>855</v>
      </c>
      <c r="O138" s="1" t="s">
        <v>38</v>
      </c>
    </row>
    <row r="139" spans="1:15" s="1" customFormat="1" x14ac:dyDescent="0.25">
      <c r="A139" s="23"/>
      <c r="B139" s="23"/>
      <c r="C139" s="24"/>
      <c r="D139" s="23"/>
      <c r="E139" s="23"/>
      <c r="F139" s="23"/>
      <c r="G139" s="23"/>
      <c r="H139" s="23"/>
      <c r="I139" s="23"/>
      <c r="J139" s="23"/>
      <c r="K139" s="23"/>
      <c r="L139" s="23"/>
      <c r="M139" s="23"/>
      <c r="N139" s="23"/>
      <c r="O139" s="1" t="s">
        <v>38</v>
      </c>
    </row>
    <row r="140" spans="1:15" s="1" customFormat="1" x14ac:dyDescent="0.25">
      <c r="A140" s="23"/>
      <c r="B140" s="23"/>
      <c r="C140" s="24"/>
      <c r="D140" s="23"/>
      <c r="E140" s="23"/>
      <c r="F140" s="23"/>
      <c r="G140" s="23"/>
      <c r="H140" s="23"/>
      <c r="I140" s="23"/>
      <c r="J140" s="23"/>
      <c r="K140" s="23"/>
      <c r="L140" s="23"/>
      <c r="M140" s="23"/>
      <c r="N140" s="23"/>
      <c r="O140" s="1" t="s">
        <v>38</v>
      </c>
    </row>
    <row r="141" spans="1:15" s="1" customFormat="1" x14ac:dyDescent="0.25">
      <c r="A141" s="23"/>
      <c r="B141" s="23"/>
      <c r="C141" s="24"/>
      <c r="D141" s="23"/>
      <c r="E141" s="23"/>
      <c r="F141" s="23"/>
      <c r="G141" s="23"/>
      <c r="H141" s="23"/>
      <c r="I141" s="23"/>
      <c r="J141" s="23"/>
      <c r="K141" s="23"/>
      <c r="L141" s="23"/>
      <c r="M141" s="23"/>
      <c r="N141" s="23"/>
      <c r="O141" s="1" t="s">
        <v>38</v>
      </c>
    </row>
    <row r="142" spans="1:15" s="1" customFormat="1" x14ac:dyDescent="0.25">
      <c r="A142" s="23"/>
      <c r="B142" s="23"/>
      <c r="C142" s="24"/>
      <c r="D142" s="23"/>
      <c r="E142" s="23"/>
      <c r="F142" s="23"/>
      <c r="G142" s="23"/>
      <c r="H142" s="23"/>
      <c r="I142" s="23"/>
      <c r="J142" s="23"/>
      <c r="K142" s="23"/>
      <c r="L142" s="23"/>
      <c r="M142" s="23"/>
      <c r="N142" s="23"/>
      <c r="O142" s="1" t="s">
        <v>38</v>
      </c>
    </row>
    <row r="143" spans="1:15" s="1" customFormat="1" x14ac:dyDescent="0.25">
      <c r="A143" s="23"/>
      <c r="B143" s="23"/>
      <c r="C143" s="24"/>
      <c r="D143" s="23"/>
      <c r="E143" s="23"/>
      <c r="F143" s="23"/>
      <c r="G143" s="23"/>
      <c r="H143" s="23"/>
      <c r="I143" s="23"/>
      <c r="J143" s="23"/>
      <c r="K143" s="23"/>
      <c r="L143" s="23"/>
      <c r="M143" s="23"/>
      <c r="N143" s="23"/>
      <c r="O143" s="1" t="s">
        <v>38</v>
      </c>
    </row>
    <row r="144" spans="1:15" s="1" customFormat="1" x14ac:dyDescent="0.25">
      <c r="A144" s="23"/>
      <c r="B144" s="23"/>
      <c r="C144" s="24"/>
      <c r="D144" s="23"/>
      <c r="E144" s="23"/>
      <c r="F144" s="23"/>
      <c r="G144" s="23"/>
      <c r="H144" s="23"/>
      <c r="I144" s="23"/>
      <c r="J144" s="23"/>
      <c r="K144" s="23"/>
      <c r="L144" s="23"/>
      <c r="M144" s="23"/>
      <c r="N144" s="23"/>
      <c r="O144" s="1" t="s">
        <v>38</v>
      </c>
    </row>
    <row r="145" spans="1:15" s="1" customFormat="1" x14ac:dyDescent="0.25">
      <c r="A145" s="23"/>
      <c r="B145" s="23"/>
      <c r="C145" s="24"/>
      <c r="D145" s="23"/>
      <c r="E145" s="23"/>
      <c r="F145" s="23"/>
      <c r="G145" s="23"/>
      <c r="H145" s="23"/>
      <c r="I145" s="23"/>
      <c r="J145" s="23"/>
      <c r="K145" s="23"/>
      <c r="L145" s="23"/>
      <c r="M145" s="23"/>
      <c r="N145" s="23"/>
      <c r="O145" s="1" t="s">
        <v>38</v>
      </c>
    </row>
    <row r="146" spans="1:15" s="1" customFormat="1" x14ac:dyDescent="0.25">
      <c r="A146" s="23"/>
      <c r="B146" s="23"/>
      <c r="C146" s="24"/>
      <c r="D146" s="23"/>
      <c r="E146" s="23"/>
      <c r="F146" s="23"/>
      <c r="G146" s="23"/>
      <c r="H146" s="23"/>
      <c r="I146" s="23"/>
      <c r="J146" s="23"/>
      <c r="K146" s="23"/>
      <c r="L146" s="23"/>
      <c r="M146" s="23"/>
      <c r="N146" s="23"/>
      <c r="O146" s="1" t="s">
        <v>38</v>
      </c>
    </row>
    <row r="147" spans="1:15" s="1" customFormat="1" x14ac:dyDescent="0.25">
      <c r="A147" s="23"/>
      <c r="B147" s="23"/>
      <c r="C147" s="24"/>
      <c r="D147" s="23"/>
      <c r="E147" s="23"/>
      <c r="F147" s="23"/>
      <c r="G147" s="23"/>
      <c r="H147" s="23"/>
      <c r="I147" s="23"/>
      <c r="J147" s="23"/>
      <c r="K147" s="23"/>
      <c r="L147" s="23"/>
      <c r="M147" s="23"/>
      <c r="N147" s="23"/>
      <c r="O147" s="1" t="s">
        <v>38</v>
      </c>
    </row>
    <row r="148" spans="1:15" s="1" customFormat="1" x14ac:dyDescent="0.25">
      <c r="A148" s="23"/>
      <c r="B148" s="23"/>
      <c r="C148" s="24"/>
      <c r="D148" s="23"/>
      <c r="E148" s="23"/>
      <c r="F148" s="23"/>
      <c r="G148" s="23"/>
      <c r="H148" s="23"/>
      <c r="I148" s="23"/>
      <c r="J148" s="23"/>
      <c r="K148" s="23"/>
      <c r="L148" s="23"/>
      <c r="M148" s="23"/>
      <c r="N148" s="23"/>
      <c r="O148" s="1" t="s">
        <v>38</v>
      </c>
    </row>
    <row r="149" spans="1:15" s="1" customFormat="1" x14ac:dyDescent="0.25">
      <c r="A149" s="23"/>
      <c r="B149" s="23"/>
      <c r="C149" s="24"/>
      <c r="D149" s="23"/>
      <c r="E149" s="23"/>
      <c r="F149" s="23"/>
      <c r="G149" s="23"/>
      <c r="H149" s="23"/>
      <c r="I149" s="23"/>
      <c r="J149" s="23"/>
      <c r="K149" s="23"/>
      <c r="L149" s="23"/>
      <c r="M149" s="23"/>
      <c r="N149" s="23"/>
      <c r="O149" s="1" t="s">
        <v>38</v>
      </c>
    </row>
    <row r="150" spans="1:15" s="1" customFormat="1" x14ac:dyDescent="0.25">
      <c r="A150" s="23"/>
      <c r="B150" s="23"/>
      <c r="C150" s="24"/>
      <c r="D150" s="23"/>
      <c r="E150" s="23"/>
      <c r="F150" s="23"/>
      <c r="G150" s="23"/>
      <c r="H150" s="23"/>
      <c r="I150" s="23"/>
      <c r="J150" s="23"/>
      <c r="K150" s="23"/>
      <c r="L150" s="23"/>
      <c r="M150" s="23"/>
      <c r="N150" s="23"/>
      <c r="O150" s="1" t="s">
        <v>38</v>
      </c>
    </row>
    <row r="151" spans="1:15" s="1" customFormat="1" x14ac:dyDescent="0.25">
      <c r="A151" s="23"/>
      <c r="B151" s="23"/>
      <c r="C151" s="24"/>
      <c r="D151" s="23"/>
      <c r="E151" s="23"/>
      <c r="F151" s="23"/>
      <c r="G151" s="23"/>
      <c r="H151" s="23"/>
      <c r="I151" s="23"/>
      <c r="J151" s="23"/>
      <c r="K151" s="23"/>
      <c r="L151" s="23"/>
      <c r="M151" s="23"/>
      <c r="N151" s="23"/>
      <c r="O151" s="1" t="s">
        <v>38</v>
      </c>
    </row>
    <row r="152" spans="1:15" s="1" customFormat="1" x14ac:dyDescent="0.25">
      <c r="A152" s="23"/>
      <c r="B152" s="23"/>
      <c r="C152" s="24"/>
      <c r="D152" s="23"/>
      <c r="E152" s="23"/>
      <c r="F152" s="23"/>
      <c r="G152" s="23"/>
      <c r="H152" s="23"/>
      <c r="I152" s="23"/>
      <c r="J152" s="23"/>
      <c r="K152" s="23"/>
      <c r="L152" s="23"/>
      <c r="M152" s="23"/>
      <c r="N152" s="23"/>
      <c r="O152" s="1" t="s">
        <v>38</v>
      </c>
    </row>
    <row r="153" spans="1:15" s="1" customFormat="1" x14ac:dyDescent="0.25">
      <c r="A153" s="23"/>
      <c r="B153" s="23"/>
      <c r="C153" s="24"/>
      <c r="D153" s="23"/>
      <c r="E153" s="23"/>
      <c r="F153" s="23"/>
      <c r="G153" s="23"/>
      <c r="H153" s="23"/>
      <c r="I153" s="23"/>
      <c r="J153" s="23"/>
      <c r="K153" s="23"/>
      <c r="L153" s="23"/>
      <c r="M153" s="23"/>
      <c r="N153" s="23"/>
      <c r="O153" s="1" t="s">
        <v>38</v>
      </c>
    </row>
    <row r="154" spans="1:15" s="1" customFormat="1" x14ac:dyDescent="0.25">
      <c r="A154" s="23"/>
      <c r="B154" s="23"/>
      <c r="C154" s="24"/>
      <c r="D154" s="23"/>
      <c r="E154" s="23"/>
      <c r="F154" s="23"/>
      <c r="G154" s="23"/>
      <c r="H154" s="23"/>
      <c r="I154" s="23"/>
      <c r="J154" s="23"/>
      <c r="K154" s="23"/>
      <c r="L154" s="23"/>
      <c r="M154" s="23"/>
      <c r="N154" s="23"/>
      <c r="O154" s="1" t="s">
        <v>38</v>
      </c>
    </row>
    <row r="155" spans="1:15" s="1" customFormat="1" x14ac:dyDescent="0.25">
      <c r="A155" s="23"/>
      <c r="B155" s="23"/>
      <c r="C155" s="24"/>
      <c r="D155" s="23"/>
      <c r="E155" s="23"/>
      <c r="F155" s="23"/>
      <c r="G155" s="23"/>
      <c r="H155" s="23"/>
      <c r="I155" s="23"/>
      <c r="J155" s="23"/>
      <c r="K155" s="23"/>
      <c r="L155" s="23"/>
      <c r="M155" s="23"/>
      <c r="N155" s="23"/>
      <c r="O155" s="1" t="s">
        <v>38</v>
      </c>
    </row>
    <row r="156" spans="1:15" s="1" customFormat="1" x14ac:dyDescent="0.25">
      <c r="A156" s="23"/>
      <c r="B156" s="23"/>
      <c r="C156" s="24"/>
      <c r="D156" s="23"/>
      <c r="E156" s="23"/>
      <c r="F156" s="23"/>
      <c r="G156" s="23"/>
      <c r="H156" s="23"/>
      <c r="I156" s="23"/>
      <c r="J156" s="23"/>
      <c r="K156" s="23"/>
      <c r="L156" s="23"/>
      <c r="M156" s="23"/>
      <c r="N156" s="23"/>
      <c r="O156" s="1" t="s">
        <v>38</v>
      </c>
    </row>
    <row r="157" spans="1:15" s="1" customFormat="1" x14ac:dyDescent="0.25">
      <c r="A157" s="23"/>
      <c r="B157" s="23"/>
      <c r="C157" s="24"/>
      <c r="D157" s="23"/>
      <c r="E157" s="23"/>
      <c r="F157" s="23"/>
      <c r="G157" s="23"/>
      <c r="H157" s="23"/>
      <c r="I157" s="23"/>
      <c r="J157" s="23"/>
      <c r="K157" s="23"/>
      <c r="L157" s="23"/>
      <c r="M157" s="23"/>
      <c r="N157" s="23"/>
      <c r="O157" s="1" t="s">
        <v>38</v>
      </c>
    </row>
    <row r="158" spans="1:15" s="1" customFormat="1" x14ac:dyDescent="0.25">
      <c r="A158" s="23"/>
      <c r="B158" s="23"/>
      <c r="C158" s="24"/>
      <c r="D158" s="23"/>
      <c r="E158" s="23"/>
      <c r="F158" s="23"/>
      <c r="G158" s="23"/>
      <c r="H158" s="23"/>
      <c r="I158" s="23"/>
      <c r="J158" s="23"/>
      <c r="K158" s="23"/>
      <c r="L158" s="23"/>
      <c r="M158" s="23"/>
      <c r="N158" s="23"/>
      <c r="O158" s="1" t="s">
        <v>38</v>
      </c>
    </row>
    <row r="159" spans="1:15" s="1" customFormat="1" x14ac:dyDescent="0.25">
      <c r="A159" s="23"/>
      <c r="B159" s="23"/>
      <c r="C159" s="24"/>
      <c r="D159" s="23"/>
      <c r="E159" s="23"/>
      <c r="F159" s="23"/>
      <c r="G159" s="23"/>
      <c r="H159" s="23"/>
      <c r="I159" s="23"/>
      <c r="J159" s="23"/>
      <c r="K159" s="23"/>
      <c r="L159" s="23"/>
      <c r="M159" s="23"/>
      <c r="N159" s="23"/>
      <c r="O159" s="1" t="s">
        <v>38</v>
      </c>
    </row>
    <row r="160" spans="1:15" s="1" customFormat="1" x14ac:dyDescent="0.25">
      <c r="A160" s="23"/>
      <c r="B160" s="23"/>
      <c r="C160" s="24"/>
      <c r="D160" s="23"/>
      <c r="E160" s="23"/>
      <c r="F160" s="23"/>
      <c r="G160" s="23"/>
      <c r="H160" s="23"/>
      <c r="I160" s="23"/>
      <c r="J160" s="23"/>
      <c r="K160" s="23"/>
      <c r="L160" s="23"/>
      <c r="M160" s="23"/>
      <c r="N160" s="23"/>
      <c r="O160" s="1" t="s">
        <v>38</v>
      </c>
    </row>
    <row r="161" spans="1:15" s="1" customFormat="1" x14ac:dyDescent="0.25">
      <c r="A161" s="23"/>
      <c r="B161" s="23"/>
      <c r="C161" s="24"/>
      <c r="D161" s="23"/>
      <c r="E161" s="23"/>
      <c r="F161" s="23"/>
      <c r="G161" s="23"/>
      <c r="H161" s="23"/>
      <c r="I161" s="23"/>
      <c r="J161" s="23"/>
      <c r="K161" s="23"/>
      <c r="L161" s="23"/>
      <c r="M161" s="23"/>
      <c r="N161" s="23"/>
      <c r="O161" s="1" t="s">
        <v>38</v>
      </c>
    </row>
    <row r="162" spans="1:15" s="1" customFormat="1" x14ac:dyDescent="0.25">
      <c r="A162" s="23"/>
      <c r="B162" s="23"/>
      <c r="C162" s="24"/>
      <c r="D162" s="23"/>
      <c r="E162" s="23"/>
      <c r="F162" s="23"/>
      <c r="G162" s="23"/>
      <c r="H162" s="23"/>
      <c r="I162" s="23"/>
      <c r="J162" s="23"/>
      <c r="K162" s="23"/>
      <c r="L162" s="23"/>
      <c r="M162" s="23"/>
      <c r="N162" s="23"/>
      <c r="O162" s="1" t="s">
        <v>38</v>
      </c>
    </row>
    <row r="163" spans="1:15" s="1" customFormat="1" x14ac:dyDescent="0.25">
      <c r="A163" s="23"/>
      <c r="B163" s="23"/>
      <c r="C163" s="24"/>
      <c r="D163" s="23"/>
      <c r="E163" s="23"/>
      <c r="F163" s="23"/>
      <c r="G163" s="23"/>
      <c r="H163" s="23"/>
      <c r="I163" s="23"/>
      <c r="J163" s="23"/>
      <c r="K163" s="23"/>
      <c r="L163" s="23"/>
      <c r="M163" s="23"/>
      <c r="N163" s="23"/>
      <c r="O163" s="1" t="s">
        <v>38</v>
      </c>
    </row>
    <row r="164" spans="1:15" s="1" customFormat="1" x14ac:dyDescent="0.25">
      <c r="A164" s="23"/>
      <c r="B164" s="23"/>
      <c r="C164" s="24"/>
      <c r="D164" s="23"/>
      <c r="E164" s="23"/>
      <c r="F164" s="23"/>
      <c r="G164" s="23"/>
      <c r="H164" s="23"/>
      <c r="I164" s="23"/>
      <c r="J164" s="23"/>
      <c r="K164" s="23"/>
      <c r="L164" s="23"/>
      <c r="M164" s="23"/>
      <c r="N164" s="23"/>
      <c r="O164" s="1" t="s">
        <v>38</v>
      </c>
    </row>
    <row r="165" spans="1:15" s="1" customFormat="1" x14ac:dyDescent="0.25">
      <c r="A165" s="23"/>
      <c r="B165" s="23"/>
      <c r="C165" s="24"/>
      <c r="D165" s="23"/>
      <c r="E165" s="23"/>
      <c r="F165" s="23"/>
      <c r="G165" s="23"/>
      <c r="H165" s="23"/>
      <c r="I165" s="23"/>
      <c r="J165" s="23"/>
      <c r="K165" s="23"/>
      <c r="L165" s="23"/>
      <c r="M165" s="23"/>
      <c r="N165" s="23"/>
      <c r="O165" s="1" t="s">
        <v>38</v>
      </c>
    </row>
    <row r="166" spans="1:15" s="1" customFormat="1" x14ac:dyDescent="0.25">
      <c r="A166" s="23"/>
      <c r="B166" s="23"/>
      <c r="C166" s="24"/>
      <c r="D166" s="23"/>
      <c r="E166" s="23"/>
      <c r="F166" s="23"/>
      <c r="G166" s="23"/>
      <c r="H166" s="23"/>
      <c r="I166" s="23"/>
      <c r="J166" s="23"/>
      <c r="K166" s="23"/>
      <c r="L166" s="23"/>
      <c r="M166" s="23"/>
      <c r="N166" s="23"/>
      <c r="O166" s="1" t="s">
        <v>38</v>
      </c>
    </row>
    <row r="167" spans="1:15" s="1" customFormat="1" x14ac:dyDescent="0.25">
      <c r="A167" s="23"/>
      <c r="B167" s="23"/>
      <c r="C167" s="24"/>
      <c r="D167" s="23"/>
      <c r="E167" s="23"/>
      <c r="F167" s="23"/>
      <c r="G167" s="23"/>
      <c r="H167" s="23"/>
      <c r="I167" s="23"/>
      <c r="J167" s="23"/>
      <c r="K167" s="23"/>
      <c r="L167" s="23"/>
      <c r="M167" s="23"/>
      <c r="N167" s="23"/>
      <c r="O167" s="1" t="s">
        <v>38</v>
      </c>
    </row>
    <row r="168" spans="1:15" s="1" customFormat="1" x14ac:dyDescent="0.25">
      <c r="A168" s="23"/>
      <c r="B168" s="23"/>
      <c r="C168" s="24"/>
      <c r="D168" s="23"/>
      <c r="E168" s="23"/>
      <c r="F168" s="23"/>
      <c r="G168" s="23"/>
      <c r="H168" s="23"/>
      <c r="I168" s="23"/>
      <c r="J168" s="23"/>
      <c r="K168" s="23"/>
      <c r="L168" s="23"/>
      <c r="M168" s="23"/>
      <c r="N168" s="23"/>
      <c r="O168" s="1" t="s">
        <v>38</v>
      </c>
    </row>
    <row r="169" spans="1:15" s="1" customFormat="1" x14ac:dyDescent="0.25">
      <c r="A169" s="23"/>
      <c r="B169" s="23"/>
      <c r="C169" s="24"/>
      <c r="D169" s="23"/>
      <c r="E169" s="23"/>
      <c r="F169" s="23"/>
      <c r="G169" s="23"/>
      <c r="H169" s="23"/>
      <c r="I169" s="23"/>
      <c r="J169" s="23"/>
      <c r="K169" s="23"/>
      <c r="L169" s="23"/>
      <c r="M169" s="23"/>
      <c r="N169" s="23"/>
      <c r="O169" s="1" t="s">
        <v>38</v>
      </c>
    </row>
    <row r="170" spans="1:15" s="1" customFormat="1" x14ac:dyDescent="0.25">
      <c r="A170" s="23"/>
      <c r="B170" s="23"/>
      <c r="C170" s="24"/>
      <c r="D170" s="23"/>
      <c r="E170" s="23"/>
      <c r="F170" s="23"/>
      <c r="G170" s="23"/>
      <c r="H170" s="23"/>
      <c r="I170" s="23"/>
      <c r="J170" s="23"/>
      <c r="K170" s="23"/>
      <c r="L170" s="23"/>
      <c r="M170" s="23"/>
      <c r="N170" s="23"/>
      <c r="O170" s="1" t="s">
        <v>38</v>
      </c>
    </row>
    <row r="171" spans="1:15" s="1" customFormat="1" x14ac:dyDescent="0.25">
      <c r="A171" s="23"/>
      <c r="B171" s="23"/>
      <c r="C171" s="24"/>
      <c r="D171" s="23"/>
      <c r="E171" s="23"/>
      <c r="F171" s="23"/>
      <c r="G171" s="23"/>
      <c r="H171" s="23"/>
      <c r="I171" s="23"/>
      <c r="J171" s="23"/>
      <c r="K171" s="23"/>
      <c r="L171" s="23"/>
      <c r="M171" s="23"/>
      <c r="N171" s="23"/>
      <c r="O171" s="1" t="s">
        <v>38</v>
      </c>
    </row>
    <row r="172" spans="1:15" s="1" customFormat="1" x14ac:dyDescent="0.25">
      <c r="A172" s="23"/>
      <c r="B172" s="23"/>
      <c r="C172" s="24"/>
      <c r="D172" s="23"/>
      <c r="E172" s="23"/>
      <c r="F172" s="23"/>
      <c r="G172" s="23"/>
      <c r="H172" s="23"/>
      <c r="I172" s="23"/>
      <c r="J172" s="23"/>
      <c r="K172" s="23"/>
      <c r="L172" s="23"/>
      <c r="M172" s="23"/>
      <c r="N172" s="23"/>
      <c r="O172" s="1" t="s">
        <v>38</v>
      </c>
    </row>
    <row r="173" spans="1:15" s="1" customFormat="1" x14ac:dyDescent="0.25">
      <c r="A173" s="23"/>
      <c r="B173" s="23"/>
      <c r="C173" s="24"/>
      <c r="D173" s="23"/>
      <c r="E173" s="23"/>
      <c r="F173" s="23"/>
      <c r="G173" s="23"/>
      <c r="H173" s="23"/>
      <c r="I173" s="23"/>
      <c r="J173" s="23"/>
      <c r="K173" s="23"/>
      <c r="L173" s="23"/>
      <c r="M173" s="23"/>
      <c r="N173" s="23"/>
      <c r="O173" s="1" t="s">
        <v>38</v>
      </c>
    </row>
    <row r="174" spans="1:15" s="1" customFormat="1" x14ac:dyDescent="0.25">
      <c r="A174" s="23"/>
      <c r="B174" s="23"/>
      <c r="C174" s="24"/>
      <c r="D174" s="23"/>
      <c r="E174" s="23"/>
      <c r="F174" s="23"/>
      <c r="G174" s="23"/>
      <c r="H174" s="23"/>
      <c r="I174" s="23"/>
      <c r="J174" s="23"/>
      <c r="K174" s="23"/>
      <c r="L174" s="23"/>
      <c r="M174" s="23"/>
      <c r="N174" s="23"/>
      <c r="O174" s="1" t="s">
        <v>38</v>
      </c>
    </row>
    <row r="175" spans="1:15" s="1" customFormat="1" x14ac:dyDescent="0.25">
      <c r="A175" s="23"/>
      <c r="B175" s="23"/>
      <c r="C175" s="24"/>
      <c r="D175" s="23"/>
      <c r="E175" s="23"/>
      <c r="F175" s="23"/>
      <c r="G175" s="23"/>
      <c r="H175" s="23"/>
      <c r="I175" s="23"/>
      <c r="J175" s="23"/>
      <c r="K175" s="23"/>
      <c r="L175" s="23"/>
      <c r="M175" s="23"/>
      <c r="N175" s="23"/>
      <c r="O175" s="1" t="s">
        <v>38</v>
      </c>
    </row>
    <row r="176" spans="1:15" s="1" customFormat="1" x14ac:dyDescent="0.25">
      <c r="A176" s="23"/>
      <c r="B176" s="23"/>
      <c r="C176" s="24"/>
      <c r="D176" s="23"/>
      <c r="E176" s="23"/>
      <c r="F176" s="23"/>
      <c r="G176" s="23"/>
      <c r="H176" s="23"/>
      <c r="I176" s="23"/>
      <c r="J176" s="23"/>
      <c r="K176" s="23"/>
      <c r="L176" s="23"/>
      <c r="M176" s="23"/>
      <c r="N176" s="23"/>
      <c r="O176" s="1" t="s">
        <v>38</v>
      </c>
    </row>
    <row r="177" spans="1:15" s="1" customFormat="1" x14ac:dyDescent="0.25">
      <c r="A177" s="23"/>
      <c r="B177" s="23"/>
      <c r="C177" s="24"/>
      <c r="D177" s="23"/>
      <c r="E177" s="23"/>
      <c r="F177" s="23"/>
      <c r="G177" s="23"/>
      <c r="H177" s="23"/>
      <c r="I177" s="23"/>
      <c r="J177" s="23"/>
      <c r="K177" s="23"/>
      <c r="L177" s="23"/>
      <c r="M177" s="23"/>
      <c r="N177" s="23"/>
      <c r="O177" s="1" t="s">
        <v>38</v>
      </c>
    </row>
    <row r="178" spans="1:15" s="1" customFormat="1" x14ac:dyDescent="0.25">
      <c r="A178" s="23"/>
      <c r="B178" s="23"/>
      <c r="C178" s="24"/>
      <c r="D178" s="23"/>
      <c r="E178" s="23"/>
      <c r="F178" s="23"/>
      <c r="G178" s="23"/>
      <c r="H178" s="23"/>
      <c r="I178" s="23"/>
      <c r="J178" s="23"/>
      <c r="K178" s="23"/>
      <c r="L178" s="23"/>
      <c r="M178" s="23"/>
      <c r="N178" s="23"/>
      <c r="O178" s="1" t="s">
        <v>38</v>
      </c>
    </row>
    <row r="179" spans="1:15" s="1" customFormat="1" x14ac:dyDescent="0.25">
      <c r="A179" s="23"/>
      <c r="B179" s="23"/>
      <c r="C179" s="24"/>
      <c r="D179" s="23"/>
      <c r="E179" s="23"/>
      <c r="F179" s="23"/>
      <c r="G179" s="23"/>
      <c r="H179" s="23"/>
      <c r="I179" s="23"/>
      <c r="J179" s="23"/>
      <c r="K179" s="23"/>
      <c r="L179" s="23"/>
      <c r="M179" s="23"/>
      <c r="N179" s="23"/>
      <c r="O179" s="1" t="s">
        <v>38</v>
      </c>
    </row>
    <row r="180" spans="1:15" s="1" customFormat="1" x14ac:dyDescent="0.25">
      <c r="A180" s="23"/>
      <c r="B180" s="23"/>
      <c r="C180" s="24"/>
      <c r="D180" s="23"/>
      <c r="E180" s="23"/>
      <c r="F180" s="23"/>
      <c r="G180" s="23"/>
      <c r="H180" s="23"/>
      <c r="I180" s="23"/>
      <c r="J180" s="23"/>
      <c r="K180" s="23"/>
      <c r="L180" s="23"/>
      <c r="M180" s="23"/>
      <c r="N180" s="23"/>
      <c r="O180" s="1" t="s">
        <v>38</v>
      </c>
    </row>
    <row r="181" spans="1:15" s="1" customFormat="1" x14ac:dyDescent="0.25">
      <c r="A181" s="23"/>
      <c r="B181" s="23"/>
      <c r="C181" s="24"/>
      <c r="D181" s="23"/>
      <c r="E181" s="23"/>
      <c r="F181" s="23"/>
      <c r="G181" s="23"/>
      <c r="H181" s="23"/>
      <c r="I181" s="23"/>
      <c r="J181" s="23"/>
      <c r="K181" s="23"/>
      <c r="L181" s="23"/>
      <c r="M181" s="23"/>
      <c r="N181" s="23"/>
      <c r="O181" s="1" t="s">
        <v>38</v>
      </c>
    </row>
    <row r="182" spans="1:15" s="1" customFormat="1" x14ac:dyDescent="0.25">
      <c r="A182" s="23"/>
      <c r="B182" s="23"/>
      <c r="C182" s="24"/>
      <c r="D182" s="23"/>
      <c r="E182" s="23"/>
      <c r="F182" s="23"/>
      <c r="G182" s="23"/>
      <c r="H182" s="23"/>
      <c r="I182" s="23"/>
      <c r="J182" s="23"/>
      <c r="K182" s="23"/>
      <c r="L182" s="23"/>
      <c r="M182" s="23"/>
      <c r="N182" s="23"/>
      <c r="O182" s="1" t="s">
        <v>38</v>
      </c>
    </row>
    <row r="183" spans="1:15" s="1" customFormat="1" x14ac:dyDescent="0.25">
      <c r="A183" s="23"/>
      <c r="B183" s="23"/>
      <c r="C183" s="24"/>
      <c r="D183" s="23"/>
      <c r="E183" s="23"/>
      <c r="F183" s="23"/>
      <c r="G183" s="23"/>
      <c r="H183" s="23"/>
      <c r="I183" s="23"/>
      <c r="J183" s="23"/>
      <c r="K183" s="23"/>
      <c r="L183" s="23"/>
      <c r="M183" s="23"/>
      <c r="N183" s="23"/>
      <c r="O183" s="1" t="s">
        <v>38</v>
      </c>
    </row>
    <row r="184" spans="1:15" s="1" customFormat="1" x14ac:dyDescent="0.25">
      <c r="A184" s="23"/>
      <c r="B184" s="23"/>
      <c r="C184" s="24"/>
      <c r="D184" s="23"/>
      <c r="E184" s="23"/>
      <c r="F184" s="23"/>
      <c r="G184" s="23"/>
      <c r="H184" s="23"/>
      <c r="I184" s="23"/>
      <c r="J184" s="23"/>
      <c r="K184" s="23"/>
      <c r="L184" s="23"/>
      <c r="M184" s="23"/>
      <c r="N184" s="23"/>
      <c r="O184" s="1" t="s">
        <v>38</v>
      </c>
    </row>
    <row r="185" spans="1:15" s="1" customFormat="1" x14ac:dyDescent="0.25">
      <c r="A185" s="23"/>
      <c r="B185" s="23"/>
      <c r="C185" s="24"/>
      <c r="D185" s="23"/>
      <c r="E185" s="23"/>
      <c r="F185" s="23"/>
      <c r="G185" s="23"/>
      <c r="H185" s="23"/>
      <c r="I185" s="23"/>
      <c r="J185" s="23"/>
      <c r="K185" s="23"/>
      <c r="L185" s="23"/>
      <c r="M185" s="23"/>
      <c r="N185" s="23"/>
      <c r="O185" s="1" t="s">
        <v>38</v>
      </c>
    </row>
    <row r="186" spans="1:15" s="1" customFormat="1" x14ac:dyDescent="0.25">
      <c r="A186" s="23"/>
      <c r="B186" s="23"/>
      <c r="C186" s="24"/>
      <c r="D186" s="23"/>
      <c r="E186" s="23"/>
      <c r="F186" s="23"/>
      <c r="G186" s="23"/>
      <c r="H186" s="23"/>
      <c r="I186" s="23"/>
      <c r="J186" s="23"/>
      <c r="K186" s="23"/>
      <c r="L186" s="23"/>
      <c r="M186" s="23"/>
      <c r="N186" s="23"/>
      <c r="O186" s="1" t="s">
        <v>38</v>
      </c>
    </row>
    <row r="187" spans="1:15" s="1" customFormat="1" x14ac:dyDescent="0.25">
      <c r="A187" s="23"/>
      <c r="B187" s="23"/>
      <c r="C187" s="24"/>
      <c r="D187" s="23"/>
      <c r="E187" s="23"/>
      <c r="F187" s="23"/>
      <c r="G187" s="23"/>
      <c r="H187" s="23"/>
      <c r="I187" s="23"/>
      <c r="J187" s="23"/>
      <c r="K187" s="23"/>
      <c r="L187" s="23"/>
      <c r="M187" s="23"/>
      <c r="N187" s="23"/>
      <c r="O187" s="1" t="s">
        <v>38</v>
      </c>
    </row>
    <row r="188" spans="1:15" s="1" customFormat="1" x14ac:dyDescent="0.25">
      <c r="A188" s="23"/>
      <c r="B188" s="23"/>
      <c r="C188" s="24"/>
      <c r="D188" s="23"/>
      <c r="E188" s="23"/>
      <c r="F188" s="23"/>
      <c r="G188" s="23"/>
      <c r="H188" s="23"/>
      <c r="I188" s="23"/>
      <c r="J188" s="23"/>
      <c r="K188" s="23"/>
      <c r="L188" s="23"/>
      <c r="M188" s="23"/>
      <c r="N188" s="23"/>
      <c r="O188" s="1" t="s">
        <v>38</v>
      </c>
    </row>
    <row r="189" spans="1:15" s="1" customFormat="1" x14ac:dyDescent="0.25">
      <c r="A189" s="23"/>
      <c r="B189" s="23"/>
      <c r="C189" s="24"/>
      <c r="D189" s="23"/>
      <c r="E189" s="23"/>
      <c r="F189" s="23"/>
      <c r="G189" s="23"/>
      <c r="H189" s="23"/>
      <c r="I189" s="23"/>
      <c r="J189" s="23"/>
      <c r="K189" s="23"/>
      <c r="L189" s="23"/>
      <c r="M189" s="23"/>
      <c r="N189" s="23"/>
      <c r="O189" s="1" t="s">
        <v>38</v>
      </c>
    </row>
    <row r="190" spans="1:15" s="1" customFormat="1" x14ac:dyDescent="0.25">
      <c r="A190" s="23"/>
      <c r="B190" s="23"/>
      <c r="C190" s="24"/>
      <c r="D190" s="23"/>
      <c r="E190" s="23"/>
      <c r="F190" s="23"/>
      <c r="G190" s="23"/>
      <c r="H190" s="23"/>
      <c r="I190" s="23"/>
      <c r="J190" s="23"/>
      <c r="K190" s="23"/>
      <c r="L190" s="23"/>
      <c r="M190" s="23"/>
      <c r="N190" s="23"/>
      <c r="O190" s="1" t="s">
        <v>38</v>
      </c>
    </row>
    <row r="191" spans="1:15" s="1" customFormat="1" x14ac:dyDescent="0.25">
      <c r="A191" s="23"/>
      <c r="B191" s="23"/>
      <c r="C191" s="24"/>
      <c r="D191" s="23"/>
      <c r="E191" s="23"/>
      <c r="F191" s="23"/>
      <c r="G191" s="23"/>
      <c r="H191" s="23"/>
      <c r="I191" s="23"/>
      <c r="J191" s="23"/>
      <c r="K191" s="23"/>
      <c r="L191" s="23"/>
      <c r="M191" s="23"/>
      <c r="N191" s="23"/>
      <c r="O191" s="1" t="s">
        <v>38</v>
      </c>
    </row>
    <row r="192" spans="1:15" s="1" customFormat="1" x14ac:dyDescent="0.25">
      <c r="A192" s="23"/>
      <c r="B192" s="23"/>
      <c r="C192" s="24"/>
      <c r="D192" s="23"/>
      <c r="E192" s="23"/>
      <c r="F192" s="23"/>
      <c r="G192" s="23"/>
      <c r="H192" s="23"/>
      <c r="I192" s="23"/>
      <c r="J192" s="23"/>
      <c r="K192" s="23"/>
      <c r="L192" s="23"/>
      <c r="M192" s="23"/>
      <c r="N192" s="23"/>
      <c r="O192" s="1" t="s">
        <v>38</v>
      </c>
    </row>
    <row r="193" spans="1:15" s="1" customFormat="1" x14ac:dyDescent="0.25">
      <c r="A193" s="23"/>
      <c r="B193" s="23"/>
      <c r="C193" s="24"/>
      <c r="D193" s="23"/>
      <c r="E193" s="23"/>
      <c r="F193" s="23"/>
      <c r="G193" s="23"/>
      <c r="H193" s="23"/>
      <c r="I193" s="23"/>
      <c r="J193" s="23"/>
      <c r="K193" s="23"/>
      <c r="L193" s="23"/>
      <c r="M193" s="23"/>
      <c r="N193" s="23"/>
      <c r="O193" s="1" t="s">
        <v>38</v>
      </c>
    </row>
    <row r="194" spans="1:15" s="1" customFormat="1" x14ac:dyDescent="0.25">
      <c r="A194" s="23"/>
      <c r="B194" s="23"/>
      <c r="C194" s="24"/>
      <c r="D194" s="23"/>
      <c r="E194" s="23"/>
      <c r="F194" s="23"/>
      <c r="G194" s="23"/>
      <c r="H194" s="23"/>
      <c r="I194" s="23"/>
      <c r="J194" s="23"/>
      <c r="K194" s="23"/>
      <c r="L194" s="23"/>
      <c r="M194" s="23"/>
      <c r="N194" s="23"/>
      <c r="O194" s="1" t="s">
        <v>38</v>
      </c>
    </row>
    <row r="195" spans="1:15" s="1" customFormat="1" x14ac:dyDescent="0.25">
      <c r="A195" s="23"/>
      <c r="B195" s="23"/>
      <c r="C195" s="24"/>
      <c r="D195" s="23"/>
      <c r="E195" s="23"/>
      <c r="F195" s="23"/>
      <c r="G195" s="23"/>
      <c r="H195" s="23"/>
      <c r="I195" s="23"/>
      <c r="J195" s="23"/>
      <c r="K195" s="23"/>
      <c r="L195" s="23"/>
      <c r="M195" s="23"/>
      <c r="N195" s="23"/>
      <c r="O195" s="1" t="s">
        <v>38</v>
      </c>
    </row>
    <row r="196" spans="1:15" s="1" customFormat="1" x14ac:dyDescent="0.25">
      <c r="A196" s="23"/>
      <c r="B196" s="23"/>
      <c r="C196" s="24"/>
      <c r="D196" s="23"/>
      <c r="E196" s="23"/>
      <c r="F196" s="23"/>
      <c r="G196" s="23"/>
      <c r="H196" s="23"/>
      <c r="I196" s="23"/>
      <c r="J196" s="23"/>
      <c r="K196" s="23"/>
      <c r="L196" s="23"/>
      <c r="M196" s="23"/>
      <c r="N196" s="23"/>
      <c r="O196" s="1" t="s">
        <v>38</v>
      </c>
    </row>
    <row r="197" spans="1:15" s="1" customFormat="1" x14ac:dyDescent="0.25">
      <c r="A197" s="23"/>
      <c r="B197" s="23"/>
      <c r="C197" s="24"/>
      <c r="D197" s="23"/>
      <c r="E197" s="23"/>
      <c r="F197" s="23"/>
      <c r="G197" s="23"/>
      <c r="H197" s="23"/>
      <c r="I197" s="23"/>
      <c r="J197" s="23"/>
      <c r="K197" s="23"/>
      <c r="L197" s="23"/>
      <c r="M197" s="23"/>
      <c r="N197" s="23"/>
      <c r="O197" s="1" t="s">
        <v>38</v>
      </c>
    </row>
    <row r="198" spans="1:15" s="1" customFormat="1" x14ac:dyDescent="0.25">
      <c r="A198" s="23"/>
      <c r="B198" s="23"/>
      <c r="C198" s="24"/>
      <c r="D198" s="23"/>
      <c r="E198" s="23"/>
      <c r="F198" s="23"/>
      <c r="G198" s="23"/>
      <c r="H198" s="23"/>
      <c r="I198" s="23"/>
      <c r="J198" s="23"/>
      <c r="K198" s="23"/>
      <c r="L198" s="23"/>
      <c r="M198" s="23"/>
      <c r="N198" s="23"/>
      <c r="O198" s="1" t="s">
        <v>38</v>
      </c>
    </row>
    <row r="199" spans="1:15" s="1" customFormat="1" x14ac:dyDescent="0.25">
      <c r="A199" s="23"/>
      <c r="B199" s="23"/>
      <c r="C199" s="24"/>
      <c r="D199" s="23"/>
      <c r="E199" s="23"/>
      <c r="F199" s="23"/>
      <c r="G199" s="23"/>
      <c r="H199" s="23"/>
      <c r="I199" s="23"/>
      <c r="J199" s="23"/>
      <c r="K199" s="23"/>
      <c r="L199" s="23"/>
      <c r="M199" s="23"/>
      <c r="N199" s="23"/>
      <c r="O199" s="1" t="s">
        <v>38</v>
      </c>
    </row>
    <row r="200" spans="1:15" s="1" customFormat="1" x14ac:dyDescent="0.25">
      <c r="A200" s="23"/>
      <c r="B200" s="23"/>
      <c r="C200" s="24"/>
      <c r="D200" s="23"/>
      <c r="E200" s="23"/>
      <c r="F200" s="23"/>
      <c r="G200" s="23"/>
      <c r="H200" s="23"/>
      <c r="I200" s="23"/>
      <c r="J200" s="23"/>
      <c r="K200" s="23"/>
      <c r="L200" s="23"/>
      <c r="M200" s="23"/>
      <c r="N200" s="23"/>
      <c r="O200" s="1" t="s">
        <v>38</v>
      </c>
    </row>
    <row r="201" spans="1:15" s="1" customFormat="1" x14ac:dyDescent="0.25">
      <c r="A201" s="23"/>
      <c r="B201" s="23"/>
      <c r="C201" s="24"/>
      <c r="D201" s="23"/>
      <c r="E201" s="23"/>
      <c r="F201" s="23"/>
      <c r="G201" s="23"/>
      <c r="H201" s="23"/>
      <c r="I201" s="23"/>
      <c r="J201" s="23"/>
      <c r="K201" s="23"/>
      <c r="L201" s="23"/>
      <c r="M201" s="23"/>
      <c r="N201" s="23"/>
      <c r="O201" s="1" t="s">
        <v>38</v>
      </c>
    </row>
    <row r="202" spans="1:15" s="1" customFormat="1" x14ac:dyDescent="0.25">
      <c r="A202" s="23"/>
      <c r="B202" s="23"/>
      <c r="C202" s="24"/>
      <c r="D202" s="23"/>
      <c r="E202" s="23"/>
      <c r="F202" s="23"/>
      <c r="G202" s="23"/>
      <c r="H202" s="23"/>
      <c r="I202" s="23"/>
      <c r="J202" s="23"/>
      <c r="K202" s="23"/>
      <c r="L202" s="23"/>
      <c r="M202" s="23"/>
      <c r="N202" s="23"/>
      <c r="O202" s="1" t="s">
        <v>38</v>
      </c>
    </row>
    <row r="203" spans="1:15" s="1" customFormat="1" x14ac:dyDescent="0.25">
      <c r="A203" s="23"/>
      <c r="B203" s="23"/>
      <c r="C203" s="24"/>
      <c r="D203" s="23"/>
      <c r="E203" s="23"/>
      <c r="F203" s="23"/>
      <c r="G203" s="23"/>
      <c r="H203" s="23"/>
      <c r="I203" s="23"/>
      <c r="J203" s="23"/>
      <c r="K203" s="23"/>
      <c r="L203" s="23"/>
      <c r="M203" s="23"/>
      <c r="N203" s="23"/>
      <c r="O203" s="1" t="s">
        <v>38</v>
      </c>
    </row>
    <row r="204" spans="1:15" s="1" customFormat="1" x14ac:dyDescent="0.25">
      <c r="A204" s="23"/>
      <c r="B204" s="23"/>
      <c r="C204" s="24"/>
      <c r="D204" s="23"/>
      <c r="E204" s="23"/>
      <c r="F204" s="23"/>
      <c r="G204" s="23"/>
      <c r="H204" s="23"/>
      <c r="I204" s="23"/>
      <c r="J204" s="23"/>
      <c r="K204" s="23"/>
      <c r="L204" s="23"/>
      <c r="M204" s="23"/>
      <c r="N204" s="23"/>
      <c r="O204" s="1" t="s">
        <v>38</v>
      </c>
    </row>
    <row r="205" spans="1:15" s="1" customFormat="1" x14ac:dyDescent="0.25">
      <c r="A205" s="23"/>
      <c r="B205" s="23"/>
      <c r="C205" s="24"/>
      <c r="D205" s="23"/>
      <c r="E205" s="23"/>
      <c r="F205" s="23"/>
      <c r="G205" s="23"/>
      <c r="H205" s="23"/>
      <c r="I205" s="23"/>
      <c r="J205" s="23"/>
      <c r="K205" s="23"/>
      <c r="L205" s="23"/>
      <c r="M205" s="23"/>
      <c r="N205" s="23"/>
      <c r="O205" s="1" t="s">
        <v>38</v>
      </c>
    </row>
    <row r="206" spans="1:15" s="1" customFormat="1" x14ac:dyDescent="0.25">
      <c r="A206" s="23"/>
      <c r="B206" s="23"/>
      <c r="C206" s="24"/>
      <c r="D206" s="23"/>
      <c r="E206" s="23"/>
      <c r="F206" s="23"/>
      <c r="G206" s="23"/>
      <c r="H206" s="23"/>
      <c r="I206" s="23"/>
      <c r="J206" s="23"/>
      <c r="K206" s="23"/>
      <c r="L206" s="23"/>
      <c r="M206" s="23"/>
      <c r="N206" s="23"/>
      <c r="O206" s="1" t="s">
        <v>38</v>
      </c>
    </row>
    <row r="207" spans="1:15" s="1" customFormat="1" x14ac:dyDescent="0.25">
      <c r="A207" s="23"/>
      <c r="B207" s="23"/>
      <c r="C207" s="24"/>
      <c r="D207" s="23"/>
      <c r="E207" s="23"/>
      <c r="F207" s="23"/>
      <c r="G207" s="23"/>
      <c r="H207" s="23"/>
      <c r="I207" s="23"/>
      <c r="J207" s="23"/>
      <c r="K207" s="23"/>
      <c r="L207" s="23"/>
      <c r="M207" s="23"/>
      <c r="N207" s="23"/>
      <c r="O207" s="1" t="s">
        <v>38</v>
      </c>
    </row>
    <row r="208" spans="1:15" s="1" customFormat="1" x14ac:dyDescent="0.25">
      <c r="A208" s="23"/>
      <c r="B208" s="23"/>
      <c r="C208" s="24"/>
      <c r="D208" s="23"/>
      <c r="E208" s="23"/>
      <c r="F208" s="23"/>
      <c r="G208" s="23"/>
      <c r="H208" s="23"/>
      <c r="I208" s="23"/>
      <c r="J208" s="23"/>
      <c r="K208" s="23"/>
      <c r="L208" s="23"/>
      <c r="M208" s="23"/>
      <c r="N208" s="23"/>
      <c r="O208" s="1" t="s">
        <v>38</v>
      </c>
    </row>
    <row r="209" spans="1:15" s="1" customFormat="1" x14ac:dyDescent="0.25">
      <c r="A209" s="23"/>
      <c r="B209" s="23"/>
      <c r="C209" s="24"/>
      <c r="D209" s="23"/>
      <c r="E209" s="23"/>
      <c r="F209" s="23"/>
      <c r="G209" s="23"/>
      <c r="H209" s="23"/>
      <c r="I209" s="23"/>
      <c r="J209" s="23"/>
      <c r="K209" s="23"/>
      <c r="L209" s="23"/>
      <c r="M209" s="23"/>
      <c r="N209" s="23"/>
      <c r="O209" s="1" t="s">
        <v>38</v>
      </c>
    </row>
    <row r="210" spans="1:15" s="1" customFormat="1" x14ac:dyDescent="0.25">
      <c r="A210" s="23"/>
      <c r="B210" s="23"/>
      <c r="C210" s="24"/>
      <c r="D210" s="23"/>
      <c r="E210" s="23"/>
      <c r="F210" s="23"/>
      <c r="G210" s="23"/>
      <c r="H210" s="23"/>
      <c r="I210" s="23"/>
      <c r="J210" s="23"/>
      <c r="K210" s="23"/>
      <c r="L210" s="23"/>
      <c r="M210" s="23"/>
      <c r="N210" s="23"/>
      <c r="O210" s="1" t="s">
        <v>38</v>
      </c>
    </row>
    <row r="211" spans="1:15" s="1" customFormat="1" x14ac:dyDescent="0.25">
      <c r="A211" s="23"/>
      <c r="B211" s="23"/>
      <c r="C211" s="24"/>
      <c r="D211" s="23"/>
      <c r="E211" s="23"/>
      <c r="F211" s="23"/>
      <c r="G211" s="23"/>
      <c r="H211" s="23"/>
      <c r="I211" s="23"/>
      <c r="J211" s="23"/>
      <c r="K211" s="23"/>
      <c r="L211" s="23"/>
      <c r="M211" s="23"/>
      <c r="N211" s="23"/>
      <c r="O211" s="1" t="s">
        <v>38</v>
      </c>
    </row>
    <row r="212" spans="1:15" s="1" customFormat="1" x14ac:dyDescent="0.25">
      <c r="A212" s="23"/>
      <c r="B212" s="23"/>
      <c r="C212" s="24"/>
      <c r="D212" s="23"/>
      <c r="E212" s="23"/>
      <c r="F212" s="23"/>
      <c r="G212" s="23"/>
      <c r="H212" s="23"/>
      <c r="I212" s="23"/>
      <c r="J212" s="23"/>
      <c r="K212" s="23"/>
      <c r="L212" s="23"/>
      <c r="M212" s="23"/>
      <c r="N212" s="23"/>
      <c r="O212" s="1" t="s">
        <v>38</v>
      </c>
    </row>
    <row r="213" spans="1:15" s="1" customFormat="1" x14ac:dyDescent="0.25">
      <c r="A213" s="23"/>
      <c r="B213" s="23"/>
      <c r="C213" s="24"/>
      <c r="D213" s="23"/>
      <c r="E213" s="23"/>
      <c r="F213" s="23"/>
      <c r="G213" s="23"/>
      <c r="H213" s="23"/>
      <c r="I213" s="23"/>
      <c r="J213" s="23"/>
      <c r="K213" s="23"/>
      <c r="L213" s="23"/>
      <c r="M213" s="23"/>
      <c r="N213" s="23"/>
      <c r="O213" s="1" t="s">
        <v>38</v>
      </c>
    </row>
    <row r="214" spans="1:15" s="1" customFormat="1" x14ac:dyDescent="0.25">
      <c r="A214" s="23"/>
      <c r="B214" s="23"/>
      <c r="C214" s="24"/>
      <c r="D214" s="23"/>
      <c r="E214" s="23"/>
      <c r="F214" s="23"/>
      <c r="G214" s="23"/>
      <c r="H214" s="23"/>
      <c r="I214" s="23"/>
      <c r="J214" s="23"/>
      <c r="K214" s="23"/>
      <c r="L214" s="23"/>
      <c r="M214" s="23"/>
      <c r="N214" s="23"/>
      <c r="O214" s="1" t="s">
        <v>38</v>
      </c>
    </row>
    <row r="215" spans="1:15" s="1" customFormat="1" x14ac:dyDescent="0.25">
      <c r="A215" s="23"/>
      <c r="B215" s="23"/>
      <c r="C215" s="24"/>
      <c r="D215" s="23"/>
      <c r="E215" s="23"/>
      <c r="F215" s="23"/>
      <c r="G215" s="23"/>
      <c r="H215" s="23"/>
      <c r="I215" s="23"/>
      <c r="J215" s="23"/>
      <c r="K215" s="23"/>
      <c r="L215" s="23"/>
      <c r="M215" s="23"/>
      <c r="N215" s="23"/>
      <c r="O215" s="1" t="s">
        <v>38</v>
      </c>
    </row>
    <row r="216" spans="1:15" s="1" customFormat="1" x14ac:dyDescent="0.25">
      <c r="A216" s="23"/>
      <c r="B216" s="23"/>
      <c r="C216" s="24"/>
      <c r="D216" s="23"/>
      <c r="E216" s="23"/>
      <c r="F216" s="23"/>
      <c r="G216" s="23"/>
      <c r="H216" s="23"/>
      <c r="I216" s="23"/>
      <c r="J216" s="23"/>
      <c r="K216" s="23"/>
      <c r="L216" s="23"/>
      <c r="M216" s="23"/>
      <c r="N216" s="23"/>
      <c r="O216" s="1" t="s">
        <v>38</v>
      </c>
    </row>
    <row r="217" spans="1:15" s="1" customFormat="1" x14ac:dyDescent="0.25">
      <c r="A217" s="23"/>
      <c r="B217" s="23"/>
      <c r="C217" s="24"/>
      <c r="D217" s="23"/>
      <c r="E217" s="23"/>
      <c r="F217" s="23"/>
      <c r="G217" s="23"/>
      <c r="H217" s="23"/>
      <c r="I217" s="23"/>
      <c r="J217" s="23"/>
      <c r="K217" s="23"/>
      <c r="L217" s="23"/>
      <c r="M217" s="23"/>
      <c r="N217" s="23"/>
      <c r="O217" s="1" t="s">
        <v>38</v>
      </c>
    </row>
    <row r="218" spans="1:15" s="1" customFormat="1" x14ac:dyDescent="0.25">
      <c r="A218" s="23"/>
      <c r="B218" s="23"/>
      <c r="C218" s="24"/>
      <c r="D218" s="23"/>
      <c r="E218" s="23"/>
      <c r="F218" s="23"/>
      <c r="G218" s="23"/>
      <c r="H218" s="23"/>
      <c r="I218" s="23"/>
      <c r="J218" s="23"/>
      <c r="K218" s="23"/>
      <c r="L218" s="23"/>
      <c r="M218" s="23"/>
      <c r="N218" s="23"/>
      <c r="O218" s="1" t="s">
        <v>38</v>
      </c>
    </row>
    <row r="219" spans="1:15" s="1" customFormat="1" x14ac:dyDescent="0.25">
      <c r="A219" s="23"/>
      <c r="B219" s="23"/>
      <c r="C219" s="24"/>
      <c r="D219" s="23"/>
      <c r="E219" s="23"/>
      <c r="F219" s="23"/>
      <c r="G219" s="23"/>
      <c r="H219" s="23"/>
      <c r="I219" s="23"/>
      <c r="J219" s="23"/>
      <c r="K219" s="23"/>
      <c r="L219" s="23"/>
      <c r="M219" s="23"/>
      <c r="N219" s="23"/>
      <c r="O219" s="1" t="s">
        <v>38</v>
      </c>
    </row>
    <row r="220" spans="1:15" s="1" customFormat="1" x14ac:dyDescent="0.25">
      <c r="A220" s="23"/>
      <c r="B220" s="23"/>
      <c r="C220" s="24"/>
      <c r="D220" s="23"/>
      <c r="E220" s="23"/>
      <c r="F220" s="23"/>
      <c r="G220" s="23"/>
      <c r="H220" s="23"/>
      <c r="I220" s="23"/>
      <c r="J220" s="23"/>
      <c r="K220" s="23"/>
      <c r="L220" s="23"/>
      <c r="M220" s="23"/>
      <c r="N220" s="23"/>
      <c r="O220" s="1" t="s">
        <v>38</v>
      </c>
    </row>
    <row r="221" spans="1:15" s="1" customFormat="1" x14ac:dyDescent="0.25">
      <c r="A221" s="23"/>
      <c r="B221" s="23"/>
      <c r="C221" s="24"/>
      <c r="D221" s="23"/>
      <c r="E221" s="23"/>
      <c r="F221" s="23"/>
      <c r="G221" s="23"/>
      <c r="H221" s="23"/>
      <c r="I221" s="23"/>
      <c r="J221" s="23"/>
      <c r="K221" s="23"/>
      <c r="L221" s="23"/>
      <c r="M221" s="23"/>
      <c r="N221" s="23"/>
      <c r="O221" s="1" t="s">
        <v>38</v>
      </c>
    </row>
    <row r="222" spans="1:15" s="1" customFormat="1" x14ac:dyDescent="0.25">
      <c r="A222" s="23"/>
      <c r="B222" s="23"/>
      <c r="C222" s="24"/>
      <c r="D222" s="23"/>
      <c r="E222" s="23"/>
      <c r="F222" s="23"/>
      <c r="G222" s="23"/>
      <c r="H222" s="23"/>
      <c r="I222" s="23"/>
      <c r="J222" s="23"/>
      <c r="K222" s="23"/>
      <c r="L222" s="23"/>
      <c r="M222" s="23"/>
      <c r="N222" s="23"/>
      <c r="O222" s="1" t="s">
        <v>38</v>
      </c>
    </row>
    <row r="223" spans="1:15" s="1" customFormat="1" x14ac:dyDescent="0.25">
      <c r="A223" s="23"/>
      <c r="B223" s="23"/>
      <c r="C223" s="24"/>
      <c r="D223" s="23"/>
      <c r="E223" s="23"/>
      <c r="F223" s="23"/>
      <c r="G223" s="23"/>
      <c r="H223" s="23"/>
      <c r="I223" s="23"/>
      <c r="J223" s="23"/>
      <c r="K223" s="23"/>
      <c r="L223" s="23"/>
      <c r="M223" s="23"/>
      <c r="N223" s="23"/>
      <c r="O223" s="1" t="s">
        <v>38</v>
      </c>
    </row>
    <row r="224" spans="1:15" s="1" customFormat="1" x14ac:dyDescent="0.25">
      <c r="A224" s="23"/>
      <c r="B224" s="23"/>
      <c r="C224" s="24"/>
      <c r="D224" s="23"/>
      <c r="E224" s="23"/>
      <c r="F224" s="23"/>
      <c r="G224" s="23"/>
      <c r="H224" s="23"/>
      <c r="I224" s="23"/>
      <c r="J224" s="23"/>
      <c r="K224" s="23"/>
      <c r="L224" s="23"/>
      <c r="M224" s="23"/>
      <c r="N224" s="23"/>
      <c r="O224" s="1" t="s">
        <v>38</v>
      </c>
    </row>
    <row r="225" spans="1:15" s="1" customFormat="1" x14ac:dyDescent="0.25">
      <c r="A225" s="23"/>
      <c r="B225" s="23"/>
      <c r="C225" s="24"/>
      <c r="D225" s="23"/>
      <c r="E225" s="23"/>
      <c r="F225" s="23"/>
      <c r="G225" s="23"/>
      <c r="H225" s="23"/>
      <c r="I225" s="23"/>
      <c r="J225" s="23"/>
      <c r="K225" s="23"/>
      <c r="L225" s="23"/>
      <c r="M225" s="23"/>
      <c r="N225" s="23"/>
      <c r="O225" s="1" t="s">
        <v>38</v>
      </c>
    </row>
    <row r="226" spans="1:15" s="1" customFormat="1" x14ac:dyDescent="0.25">
      <c r="A226" s="23"/>
      <c r="B226" s="23"/>
      <c r="C226" s="24"/>
      <c r="D226" s="23"/>
      <c r="E226" s="23"/>
      <c r="F226" s="23"/>
      <c r="G226" s="23"/>
      <c r="H226" s="23"/>
      <c r="I226" s="23"/>
      <c r="J226" s="23"/>
      <c r="K226" s="23"/>
      <c r="L226" s="23"/>
      <c r="M226" s="23"/>
      <c r="N226" s="23"/>
      <c r="O226" s="1" t="s">
        <v>38</v>
      </c>
    </row>
    <row r="227" spans="1:15" s="1" customFormat="1" x14ac:dyDescent="0.25">
      <c r="A227" s="23"/>
      <c r="B227" s="23"/>
      <c r="C227" s="24"/>
      <c r="D227" s="23"/>
      <c r="E227" s="23"/>
      <c r="F227" s="23"/>
      <c r="G227" s="23"/>
      <c r="H227" s="23"/>
      <c r="I227" s="23"/>
      <c r="J227" s="23"/>
      <c r="K227" s="23"/>
      <c r="L227" s="23"/>
      <c r="M227" s="23"/>
      <c r="N227" s="23"/>
      <c r="O227" s="1" t="s">
        <v>38</v>
      </c>
    </row>
    <row r="228" spans="1:15" s="1" customFormat="1" x14ac:dyDescent="0.25">
      <c r="A228" s="23"/>
      <c r="B228" s="23"/>
      <c r="C228" s="24"/>
      <c r="D228" s="23"/>
      <c r="E228" s="23"/>
      <c r="F228" s="23"/>
      <c r="G228" s="23"/>
      <c r="H228" s="23"/>
      <c r="I228" s="23"/>
      <c r="J228" s="23"/>
      <c r="K228" s="23"/>
      <c r="L228" s="23"/>
      <c r="M228" s="23"/>
      <c r="N228" s="23"/>
      <c r="O228" s="1" t="s">
        <v>38</v>
      </c>
    </row>
    <row r="229" spans="1:15" s="1" customFormat="1" x14ac:dyDescent="0.25">
      <c r="A229" s="23"/>
      <c r="B229" s="23"/>
      <c r="C229" s="24"/>
      <c r="D229" s="23"/>
      <c r="E229" s="23"/>
      <c r="F229" s="23"/>
      <c r="G229" s="23"/>
      <c r="H229" s="23"/>
      <c r="I229" s="23"/>
      <c r="J229" s="23"/>
      <c r="K229" s="23"/>
      <c r="L229" s="23"/>
      <c r="M229" s="23"/>
      <c r="N229" s="23"/>
      <c r="O229" s="1" t="s">
        <v>38</v>
      </c>
    </row>
    <row r="230" spans="1:15" s="1" customFormat="1" x14ac:dyDescent="0.25">
      <c r="A230" s="23"/>
      <c r="B230" s="23"/>
      <c r="C230" s="24"/>
      <c r="D230" s="23"/>
      <c r="E230" s="23"/>
      <c r="F230" s="23"/>
      <c r="G230" s="23"/>
      <c r="H230" s="23"/>
      <c r="I230" s="23"/>
      <c r="J230" s="23"/>
      <c r="K230" s="23"/>
      <c r="L230" s="23"/>
      <c r="M230" s="23"/>
      <c r="N230" s="23"/>
      <c r="O230" s="1" t="s">
        <v>38</v>
      </c>
    </row>
    <row r="231" spans="1:15" s="1" customFormat="1" x14ac:dyDescent="0.25">
      <c r="A231" s="23"/>
      <c r="B231" s="23"/>
      <c r="C231" s="24"/>
      <c r="D231" s="23"/>
      <c r="E231" s="23"/>
      <c r="F231" s="23"/>
      <c r="G231" s="23"/>
      <c r="H231" s="23"/>
      <c r="I231" s="23"/>
      <c r="J231" s="23"/>
      <c r="K231" s="23"/>
      <c r="L231" s="23"/>
      <c r="M231" s="23"/>
      <c r="N231" s="23"/>
      <c r="O231" s="1" t="s">
        <v>38</v>
      </c>
    </row>
    <row r="232" spans="1:15" s="1" customFormat="1" x14ac:dyDescent="0.25">
      <c r="A232" s="23"/>
      <c r="B232" s="23"/>
      <c r="C232" s="24"/>
      <c r="D232" s="23"/>
      <c r="E232" s="23"/>
      <c r="F232" s="23"/>
      <c r="G232" s="23"/>
      <c r="H232" s="23"/>
      <c r="I232" s="23"/>
      <c r="J232" s="23"/>
      <c r="K232" s="23"/>
      <c r="L232" s="23"/>
      <c r="M232" s="23"/>
      <c r="N232" s="23"/>
      <c r="O232" s="1" t="s">
        <v>38</v>
      </c>
    </row>
    <row r="233" spans="1:15" s="1" customFormat="1" x14ac:dyDescent="0.25">
      <c r="A233" s="23"/>
      <c r="B233" s="23"/>
      <c r="C233" s="24"/>
      <c r="D233" s="23"/>
      <c r="E233" s="23"/>
      <c r="F233" s="23"/>
      <c r="G233" s="23"/>
      <c r="H233" s="23"/>
      <c r="I233" s="23"/>
      <c r="J233" s="23"/>
      <c r="K233" s="23"/>
      <c r="L233" s="23"/>
      <c r="M233" s="23"/>
      <c r="N233" s="23"/>
      <c r="O233" s="1" t="s">
        <v>38</v>
      </c>
    </row>
    <row r="234" spans="1:15" s="1" customFormat="1" x14ac:dyDescent="0.25">
      <c r="A234" s="23"/>
      <c r="B234" s="23"/>
      <c r="C234" s="24"/>
      <c r="D234" s="23"/>
      <c r="E234" s="23"/>
      <c r="F234" s="23"/>
      <c r="G234" s="23"/>
      <c r="H234" s="23"/>
      <c r="I234" s="23"/>
      <c r="J234" s="23"/>
      <c r="K234" s="23"/>
      <c r="L234" s="23"/>
      <c r="M234" s="23"/>
      <c r="N234" s="23"/>
      <c r="O234" s="1" t="s">
        <v>38</v>
      </c>
    </row>
    <row r="235" spans="1:15" s="1" customFormat="1" x14ac:dyDescent="0.25">
      <c r="A235" s="23"/>
      <c r="B235" s="23"/>
      <c r="C235" s="24"/>
      <c r="D235" s="23"/>
      <c r="E235" s="23"/>
      <c r="F235" s="23"/>
      <c r="G235" s="23"/>
      <c r="H235" s="23"/>
      <c r="I235" s="23"/>
      <c r="J235" s="23"/>
      <c r="K235" s="23"/>
      <c r="L235" s="23"/>
      <c r="M235" s="23"/>
      <c r="N235" s="23"/>
      <c r="O235" s="1" t="s">
        <v>38</v>
      </c>
    </row>
    <row r="236" spans="1:15" s="1" customFormat="1" x14ac:dyDescent="0.25">
      <c r="A236" s="23"/>
      <c r="B236" s="23"/>
      <c r="C236" s="24"/>
      <c r="D236" s="23"/>
      <c r="E236" s="23"/>
      <c r="F236" s="23"/>
      <c r="G236" s="23"/>
      <c r="H236" s="23"/>
      <c r="I236" s="23"/>
      <c r="J236" s="23"/>
      <c r="K236" s="23"/>
      <c r="L236" s="23"/>
      <c r="M236" s="23"/>
      <c r="N236" s="23"/>
      <c r="O236" s="1" t="s">
        <v>38</v>
      </c>
    </row>
    <row r="237" spans="1:15" s="1" customFormat="1" x14ac:dyDescent="0.25">
      <c r="A237" s="23"/>
      <c r="B237" s="23"/>
      <c r="C237" s="24"/>
      <c r="D237" s="23"/>
      <c r="E237" s="23"/>
      <c r="F237" s="23"/>
      <c r="G237" s="23"/>
      <c r="H237" s="23"/>
      <c r="I237" s="23"/>
      <c r="J237" s="23"/>
      <c r="K237" s="23"/>
      <c r="L237" s="23"/>
      <c r="M237" s="23"/>
      <c r="N237" s="23"/>
      <c r="O237" s="1" t="s">
        <v>38</v>
      </c>
    </row>
    <row r="238" spans="1:15" s="1" customFormat="1" x14ac:dyDescent="0.25">
      <c r="A238" s="23"/>
      <c r="B238" s="23"/>
      <c r="C238" s="24"/>
      <c r="D238" s="23"/>
      <c r="E238" s="23"/>
      <c r="F238" s="23"/>
      <c r="G238" s="23"/>
      <c r="H238" s="23"/>
      <c r="I238" s="23"/>
      <c r="J238" s="23"/>
      <c r="K238" s="23"/>
      <c r="L238" s="23"/>
      <c r="M238" s="23"/>
      <c r="N238" s="23"/>
      <c r="O238" s="1" t="s">
        <v>38</v>
      </c>
    </row>
    <row r="239" spans="1:15" s="1" customFormat="1" x14ac:dyDescent="0.25">
      <c r="A239" s="23"/>
      <c r="B239" s="23"/>
      <c r="C239" s="24"/>
      <c r="D239" s="23"/>
      <c r="E239" s="23"/>
      <c r="F239" s="23"/>
      <c r="G239" s="23"/>
      <c r="H239" s="23"/>
      <c r="I239" s="23"/>
      <c r="J239" s="23"/>
      <c r="K239" s="23"/>
      <c r="L239" s="23"/>
      <c r="M239" s="23"/>
      <c r="N239" s="23"/>
      <c r="O239" s="1" t="s">
        <v>38</v>
      </c>
    </row>
    <row r="240" spans="1:15" s="1" customFormat="1" x14ac:dyDescent="0.25">
      <c r="A240" s="23"/>
      <c r="B240" s="23"/>
      <c r="C240" s="24"/>
      <c r="D240" s="23"/>
      <c r="E240" s="23"/>
      <c r="F240" s="23"/>
      <c r="G240" s="23"/>
      <c r="H240" s="23"/>
      <c r="I240" s="23"/>
      <c r="J240" s="23"/>
      <c r="K240" s="23"/>
      <c r="L240" s="23"/>
      <c r="M240" s="23"/>
      <c r="N240" s="23"/>
      <c r="O240" s="1" t="s">
        <v>38</v>
      </c>
    </row>
    <row r="241" spans="1:15" s="1" customFormat="1" x14ac:dyDescent="0.25">
      <c r="A241" s="23"/>
      <c r="B241" s="23"/>
      <c r="C241" s="24"/>
      <c r="D241" s="23"/>
      <c r="E241" s="23"/>
      <c r="F241" s="23"/>
      <c r="G241" s="23"/>
      <c r="H241" s="23"/>
      <c r="I241" s="23"/>
      <c r="J241" s="23"/>
      <c r="K241" s="23"/>
      <c r="L241" s="23"/>
      <c r="M241" s="23"/>
      <c r="N241" s="23"/>
      <c r="O241" s="1" t="s">
        <v>38</v>
      </c>
    </row>
    <row r="242" spans="1:15" s="1" customFormat="1" x14ac:dyDescent="0.25">
      <c r="A242" s="23"/>
      <c r="B242" s="23"/>
      <c r="C242" s="24"/>
      <c r="D242" s="23"/>
      <c r="E242" s="23"/>
      <c r="F242" s="23"/>
      <c r="G242" s="23"/>
      <c r="H242" s="23"/>
      <c r="I242" s="23"/>
      <c r="J242" s="23"/>
      <c r="K242" s="23"/>
      <c r="L242" s="23"/>
      <c r="M242" s="23"/>
      <c r="N242" s="23"/>
      <c r="O242" s="1" t="s">
        <v>38</v>
      </c>
    </row>
    <row r="243" spans="1:15" s="1" customFormat="1" x14ac:dyDescent="0.25">
      <c r="A243" s="23"/>
      <c r="B243" s="23"/>
      <c r="C243" s="24"/>
      <c r="D243" s="23"/>
      <c r="E243" s="23"/>
      <c r="F243" s="23"/>
      <c r="G243" s="23"/>
      <c r="H243" s="23"/>
      <c r="I243" s="23"/>
      <c r="J243" s="23"/>
      <c r="K243" s="23"/>
      <c r="L243" s="23"/>
      <c r="M243" s="23"/>
      <c r="N243" s="23"/>
      <c r="O243" s="1" t="s">
        <v>38</v>
      </c>
    </row>
    <row r="244" spans="1:15" s="1" customFormat="1" x14ac:dyDescent="0.25">
      <c r="A244" s="23"/>
      <c r="B244" s="23"/>
      <c r="C244" s="24"/>
      <c r="D244" s="23"/>
      <c r="E244" s="23"/>
      <c r="F244" s="23"/>
      <c r="G244" s="23"/>
      <c r="H244" s="23"/>
      <c r="I244" s="23"/>
      <c r="J244" s="23"/>
      <c r="K244" s="23"/>
      <c r="L244" s="23"/>
      <c r="M244" s="23"/>
      <c r="N244" s="23"/>
      <c r="O244" s="1" t="s">
        <v>38</v>
      </c>
    </row>
    <row r="245" spans="1:15" s="1" customFormat="1" x14ac:dyDescent="0.25">
      <c r="A245" s="23"/>
      <c r="B245" s="23"/>
      <c r="C245" s="24"/>
      <c r="D245" s="23"/>
      <c r="E245" s="23"/>
      <c r="F245" s="23"/>
      <c r="G245" s="23"/>
      <c r="H245" s="23"/>
      <c r="I245" s="23"/>
      <c r="J245" s="23"/>
      <c r="K245" s="23"/>
      <c r="L245" s="23"/>
      <c r="M245" s="23"/>
      <c r="N245" s="23"/>
      <c r="O245" s="1" t="s">
        <v>38</v>
      </c>
    </row>
    <row r="246" spans="1:15" s="1" customFormat="1" x14ac:dyDescent="0.25">
      <c r="A246" s="23"/>
      <c r="B246" s="23"/>
      <c r="C246" s="24"/>
      <c r="D246" s="23"/>
      <c r="E246" s="23"/>
      <c r="F246" s="23"/>
      <c r="G246" s="23"/>
      <c r="H246" s="23"/>
      <c r="I246" s="23"/>
      <c r="J246" s="23"/>
      <c r="K246" s="23"/>
      <c r="L246" s="23"/>
      <c r="M246" s="23"/>
      <c r="N246" s="23"/>
      <c r="O246" s="1" t="s">
        <v>38</v>
      </c>
    </row>
    <row r="247" spans="1:15" s="1" customFormat="1" x14ac:dyDescent="0.25">
      <c r="A247" s="23"/>
      <c r="B247" s="23"/>
      <c r="C247" s="24"/>
      <c r="D247" s="23"/>
      <c r="E247" s="23"/>
      <c r="F247" s="23"/>
      <c r="G247" s="23"/>
      <c r="H247" s="23"/>
      <c r="I247" s="23"/>
      <c r="J247" s="23"/>
      <c r="K247" s="23"/>
      <c r="L247" s="23"/>
      <c r="M247" s="23"/>
      <c r="N247" s="23"/>
      <c r="O247" s="1" t="s">
        <v>38</v>
      </c>
    </row>
    <row r="248" spans="1:15" s="1" customFormat="1" x14ac:dyDescent="0.25">
      <c r="A248" s="23"/>
      <c r="B248" s="23"/>
      <c r="C248" s="24"/>
      <c r="D248" s="23"/>
      <c r="E248" s="23"/>
      <c r="F248" s="23"/>
      <c r="G248" s="23"/>
      <c r="H248" s="23"/>
      <c r="I248" s="23"/>
      <c r="J248" s="23"/>
      <c r="K248" s="23"/>
      <c r="L248" s="23"/>
      <c r="M248" s="23"/>
      <c r="N248" s="23"/>
      <c r="O248" s="1" t="s">
        <v>38</v>
      </c>
    </row>
    <row r="249" spans="1:15" s="1" customFormat="1" x14ac:dyDescent="0.25">
      <c r="A249" s="23"/>
      <c r="B249" s="23"/>
      <c r="C249" s="24"/>
      <c r="D249" s="23"/>
      <c r="E249" s="23"/>
      <c r="F249" s="23"/>
      <c r="G249" s="23"/>
      <c r="H249" s="23"/>
      <c r="I249" s="23"/>
      <c r="J249" s="23"/>
      <c r="K249" s="23"/>
      <c r="L249" s="23"/>
      <c r="M249" s="23"/>
      <c r="N249" s="23"/>
      <c r="O249" s="1" t="s">
        <v>38</v>
      </c>
    </row>
    <row r="250" spans="1:15" s="1" customFormat="1" x14ac:dyDescent="0.25">
      <c r="A250" s="23"/>
      <c r="B250" s="23"/>
      <c r="C250" s="24"/>
      <c r="D250" s="23"/>
      <c r="E250" s="23"/>
      <c r="F250" s="23"/>
      <c r="G250" s="23"/>
      <c r="H250" s="23"/>
      <c r="I250" s="23"/>
      <c r="J250" s="23"/>
      <c r="K250" s="23"/>
      <c r="L250" s="23"/>
      <c r="M250" s="23"/>
      <c r="N250" s="23"/>
      <c r="O250" s="1" t="s">
        <v>38</v>
      </c>
    </row>
    <row r="251" spans="1:15" s="1" customFormat="1" x14ac:dyDescent="0.25">
      <c r="A251" s="23"/>
      <c r="B251" s="23"/>
      <c r="C251" s="24"/>
      <c r="D251" s="23"/>
      <c r="E251" s="23"/>
      <c r="F251" s="23"/>
      <c r="G251" s="23"/>
      <c r="H251" s="23"/>
      <c r="I251" s="23"/>
      <c r="J251" s="23"/>
      <c r="K251" s="23"/>
      <c r="L251" s="23"/>
      <c r="M251" s="23"/>
      <c r="N251" s="23"/>
      <c r="O251" s="1" t="s">
        <v>38</v>
      </c>
    </row>
    <row r="252" spans="1:15" s="1" customFormat="1" x14ac:dyDescent="0.25">
      <c r="A252" s="23"/>
      <c r="B252" s="23"/>
      <c r="C252" s="24"/>
      <c r="D252" s="23"/>
      <c r="E252" s="23"/>
      <c r="F252" s="23"/>
      <c r="G252" s="23"/>
      <c r="H252" s="23"/>
      <c r="I252" s="23"/>
      <c r="J252" s="23"/>
      <c r="K252" s="23"/>
      <c r="L252" s="23"/>
      <c r="M252" s="23"/>
      <c r="N252" s="23"/>
      <c r="O252" s="1" t="s">
        <v>38</v>
      </c>
    </row>
    <row r="253" spans="1:15" s="1" customFormat="1" x14ac:dyDescent="0.25">
      <c r="A253" s="23"/>
      <c r="B253" s="23"/>
      <c r="C253" s="24"/>
      <c r="D253" s="23"/>
      <c r="E253" s="23"/>
      <c r="F253" s="23"/>
      <c r="G253" s="23"/>
      <c r="H253" s="23"/>
      <c r="I253" s="23"/>
      <c r="J253" s="23"/>
      <c r="K253" s="23"/>
      <c r="L253" s="23"/>
      <c r="M253" s="23"/>
      <c r="N253" s="23"/>
      <c r="O253" s="1" t="s">
        <v>38</v>
      </c>
    </row>
    <row r="254" spans="1:15" s="1" customFormat="1" x14ac:dyDescent="0.25">
      <c r="A254" s="23"/>
      <c r="B254" s="23"/>
      <c r="C254" s="24"/>
      <c r="D254" s="23"/>
      <c r="E254" s="23"/>
      <c r="F254" s="23"/>
      <c r="G254" s="23"/>
      <c r="H254" s="23"/>
      <c r="I254" s="23"/>
      <c r="J254" s="23"/>
      <c r="K254" s="23"/>
      <c r="L254" s="23"/>
      <c r="M254" s="23"/>
      <c r="N254" s="23"/>
      <c r="O254" s="1" t="s">
        <v>38</v>
      </c>
    </row>
    <row r="255" spans="1:15" s="1" customFormat="1" x14ac:dyDescent="0.25">
      <c r="A255" s="23"/>
      <c r="B255" s="23"/>
      <c r="C255" s="24"/>
      <c r="D255" s="23"/>
      <c r="E255" s="23"/>
      <c r="F255" s="23"/>
      <c r="G255" s="23"/>
      <c r="H255" s="23"/>
      <c r="I255" s="23"/>
      <c r="J255" s="23"/>
      <c r="K255" s="23"/>
      <c r="L255" s="23"/>
      <c r="M255" s="23"/>
      <c r="N255" s="23"/>
      <c r="O255" s="1" t="s">
        <v>38</v>
      </c>
    </row>
    <row r="256" spans="1:15" s="1" customFormat="1" x14ac:dyDescent="0.25">
      <c r="A256" s="23"/>
      <c r="B256" s="23"/>
      <c r="C256" s="24"/>
      <c r="D256" s="23"/>
      <c r="E256" s="23"/>
      <c r="F256" s="23"/>
      <c r="G256" s="23"/>
      <c r="H256" s="23"/>
      <c r="I256" s="23"/>
      <c r="J256" s="23"/>
      <c r="K256" s="23"/>
      <c r="L256" s="23"/>
      <c r="M256" s="23"/>
      <c r="N256" s="23"/>
      <c r="O256" s="1" t="s">
        <v>38</v>
      </c>
    </row>
    <row r="257" spans="1:15" s="1" customFormat="1" x14ac:dyDescent="0.25">
      <c r="A257" s="23"/>
      <c r="B257" s="23"/>
      <c r="C257" s="24"/>
      <c r="D257" s="23"/>
      <c r="E257" s="23"/>
      <c r="F257" s="23"/>
      <c r="G257" s="23"/>
      <c r="H257" s="23"/>
      <c r="I257" s="23"/>
      <c r="J257" s="23"/>
      <c r="K257" s="23"/>
      <c r="L257" s="23"/>
      <c r="M257" s="23"/>
      <c r="N257" s="23"/>
      <c r="O257" s="1" t="s">
        <v>38</v>
      </c>
    </row>
    <row r="258" spans="1:15" s="1" customFormat="1" x14ac:dyDescent="0.25">
      <c r="A258" s="23"/>
      <c r="B258" s="23"/>
      <c r="C258" s="24"/>
      <c r="D258" s="23"/>
      <c r="E258" s="23"/>
      <c r="F258" s="23"/>
      <c r="G258" s="23"/>
      <c r="H258" s="23"/>
      <c r="I258" s="23"/>
      <c r="J258" s="23"/>
      <c r="K258" s="23"/>
      <c r="L258" s="23"/>
      <c r="M258" s="23"/>
      <c r="N258" s="23"/>
      <c r="O258" s="1" t="s">
        <v>38</v>
      </c>
    </row>
    <row r="259" spans="1:15" s="1" customFormat="1" x14ac:dyDescent="0.25">
      <c r="A259" s="23"/>
      <c r="B259" s="23"/>
      <c r="C259" s="24"/>
      <c r="D259" s="23"/>
      <c r="E259" s="23"/>
      <c r="F259" s="23"/>
      <c r="G259" s="23"/>
      <c r="H259" s="23"/>
      <c r="I259" s="23"/>
      <c r="J259" s="23"/>
      <c r="K259" s="23"/>
      <c r="L259" s="23"/>
      <c r="M259" s="23"/>
      <c r="N259" s="23"/>
      <c r="O259" s="1" t="s">
        <v>38</v>
      </c>
    </row>
    <row r="260" spans="1:15" s="1" customFormat="1" x14ac:dyDescent="0.25">
      <c r="A260" s="23"/>
      <c r="B260" s="23"/>
      <c r="C260" s="24"/>
      <c r="D260" s="23"/>
      <c r="E260" s="23"/>
      <c r="F260" s="23"/>
      <c r="G260" s="23"/>
      <c r="H260" s="23"/>
      <c r="I260" s="23"/>
      <c r="J260" s="23"/>
      <c r="K260" s="23"/>
      <c r="L260" s="23"/>
      <c r="M260" s="23"/>
      <c r="N260" s="23"/>
      <c r="O260" s="1" t="s">
        <v>38</v>
      </c>
    </row>
    <row r="261" spans="1:15" s="1" customFormat="1" x14ac:dyDescent="0.25">
      <c r="A261" s="23"/>
      <c r="B261" s="23"/>
      <c r="C261" s="24"/>
      <c r="D261" s="23"/>
      <c r="E261" s="23"/>
      <c r="F261" s="23"/>
      <c r="G261" s="23"/>
      <c r="H261" s="23"/>
      <c r="I261" s="23"/>
      <c r="J261" s="23"/>
      <c r="K261" s="23"/>
      <c r="L261" s="23"/>
      <c r="M261" s="23"/>
      <c r="N261" s="23"/>
      <c r="O261" s="1" t="s">
        <v>38</v>
      </c>
    </row>
    <row r="262" spans="1:15" s="1" customFormat="1" x14ac:dyDescent="0.25">
      <c r="A262" s="23"/>
      <c r="B262" s="23"/>
      <c r="C262" s="24"/>
      <c r="D262" s="23"/>
      <c r="E262" s="23"/>
      <c r="F262" s="23"/>
      <c r="G262" s="23"/>
      <c r="H262" s="23"/>
      <c r="I262" s="23"/>
      <c r="J262" s="23"/>
      <c r="K262" s="23"/>
      <c r="L262" s="23"/>
      <c r="M262" s="23"/>
      <c r="N262" s="23"/>
      <c r="O262" s="1" t="s">
        <v>38</v>
      </c>
    </row>
    <row r="263" spans="1:15" s="1" customFormat="1" x14ac:dyDescent="0.25">
      <c r="A263" s="23"/>
      <c r="B263" s="23"/>
      <c r="C263" s="24"/>
      <c r="D263" s="23"/>
      <c r="E263" s="23"/>
      <c r="F263" s="23"/>
      <c r="G263" s="23"/>
      <c r="H263" s="23"/>
      <c r="I263" s="23"/>
      <c r="J263" s="23"/>
      <c r="K263" s="23"/>
      <c r="L263" s="23"/>
      <c r="M263" s="23"/>
      <c r="N263" s="23"/>
      <c r="O263" s="1" t="s">
        <v>38</v>
      </c>
    </row>
    <row r="264" spans="1:15" s="1" customFormat="1" x14ac:dyDescent="0.25">
      <c r="A264" s="23"/>
      <c r="B264" s="23"/>
      <c r="C264" s="24"/>
      <c r="D264" s="23"/>
      <c r="E264" s="23"/>
      <c r="F264" s="23"/>
      <c r="G264" s="23"/>
      <c r="H264" s="23"/>
      <c r="I264" s="23"/>
      <c r="J264" s="23"/>
      <c r="K264" s="23"/>
      <c r="L264" s="23"/>
      <c r="M264" s="23"/>
      <c r="N264" s="23"/>
      <c r="O264" s="1" t="s">
        <v>38</v>
      </c>
    </row>
    <row r="265" spans="1:15" s="1" customFormat="1" x14ac:dyDescent="0.25">
      <c r="A265" s="23"/>
      <c r="B265" s="23"/>
      <c r="C265" s="24"/>
      <c r="D265" s="23"/>
      <c r="E265" s="23"/>
      <c r="F265" s="23"/>
      <c r="G265" s="23"/>
      <c r="H265" s="23"/>
      <c r="I265" s="23"/>
      <c r="J265" s="23"/>
      <c r="K265" s="23"/>
      <c r="L265" s="23"/>
      <c r="M265" s="23"/>
      <c r="N265" s="23"/>
      <c r="O265" s="1" t="s">
        <v>38</v>
      </c>
    </row>
    <row r="266" spans="1:15" s="1" customFormat="1" x14ac:dyDescent="0.25">
      <c r="A266" s="23"/>
      <c r="B266" s="23"/>
      <c r="C266" s="24"/>
      <c r="D266" s="23"/>
      <c r="E266" s="23"/>
      <c r="F266" s="23"/>
      <c r="G266" s="23"/>
      <c r="H266" s="23"/>
      <c r="I266" s="23"/>
      <c r="J266" s="23"/>
      <c r="K266" s="23"/>
      <c r="L266" s="23"/>
      <c r="M266" s="23"/>
      <c r="N266" s="23"/>
      <c r="O266" s="1" t="s">
        <v>38</v>
      </c>
    </row>
    <row r="267" spans="1:15" s="1" customFormat="1" x14ac:dyDescent="0.25">
      <c r="A267" s="23"/>
      <c r="B267" s="23"/>
      <c r="C267" s="24"/>
      <c r="D267" s="23"/>
      <c r="E267" s="23"/>
      <c r="F267" s="23"/>
      <c r="G267" s="23"/>
      <c r="H267" s="23"/>
      <c r="I267" s="23"/>
      <c r="J267" s="23"/>
      <c r="K267" s="23"/>
      <c r="L267" s="23"/>
      <c r="M267" s="23"/>
      <c r="N267" s="23"/>
      <c r="O267" s="1" t="s">
        <v>38</v>
      </c>
    </row>
    <row r="268" spans="1:15" s="1" customFormat="1" x14ac:dyDescent="0.25">
      <c r="A268" s="23"/>
      <c r="B268" s="23"/>
      <c r="C268" s="24"/>
      <c r="D268" s="23"/>
      <c r="E268" s="23"/>
      <c r="F268" s="23"/>
      <c r="G268" s="23"/>
      <c r="H268" s="23"/>
      <c r="I268" s="23"/>
      <c r="J268" s="23"/>
      <c r="K268" s="23"/>
      <c r="L268" s="23"/>
      <c r="M268" s="23"/>
      <c r="N268" s="23"/>
      <c r="O268" s="1" t="s">
        <v>38</v>
      </c>
    </row>
    <row r="269" spans="1:15" s="1" customFormat="1" x14ac:dyDescent="0.25">
      <c r="A269" s="23"/>
      <c r="B269" s="23"/>
      <c r="C269" s="24"/>
      <c r="D269" s="23"/>
      <c r="E269" s="23"/>
      <c r="F269" s="23"/>
      <c r="G269" s="23"/>
      <c r="H269" s="23"/>
      <c r="I269" s="23"/>
      <c r="J269" s="23"/>
      <c r="K269" s="23"/>
      <c r="L269" s="23"/>
      <c r="M269" s="23"/>
      <c r="N269" s="23"/>
      <c r="O269" s="1" t="s">
        <v>38</v>
      </c>
    </row>
    <row r="270" spans="1:15" s="1" customFormat="1" x14ac:dyDescent="0.25">
      <c r="A270" s="23"/>
      <c r="B270" s="23"/>
      <c r="C270" s="24"/>
      <c r="D270" s="23"/>
      <c r="E270" s="23"/>
      <c r="F270" s="23"/>
      <c r="G270" s="23"/>
      <c r="H270" s="23"/>
      <c r="I270" s="23"/>
      <c r="J270" s="23"/>
      <c r="K270" s="23"/>
      <c r="L270" s="23"/>
      <c r="M270" s="23"/>
      <c r="N270" s="23"/>
      <c r="O270" s="1" t="s">
        <v>38</v>
      </c>
    </row>
    <row r="271" spans="1:15" s="1" customFormat="1" x14ac:dyDescent="0.25">
      <c r="A271" s="23"/>
      <c r="B271" s="23"/>
      <c r="C271" s="24"/>
      <c r="D271" s="23"/>
      <c r="E271" s="23"/>
      <c r="F271" s="23"/>
      <c r="G271" s="23"/>
      <c r="H271" s="23"/>
      <c r="I271" s="23"/>
      <c r="J271" s="23"/>
      <c r="K271" s="23"/>
      <c r="L271" s="23"/>
      <c r="M271" s="23"/>
      <c r="N271" s="23"/>
      <c r="O271" s="1" t="s">
        <v>38</v>
      </c>
    </row>
    <row r="272" spans="1:15" s="1" customFormat="1" x14ac:dyDescent="0.25">
      <c r="A272" s="23"/>
      <c r="B272" s="23"/>
      <c r="C272" s="24"/>
      <c r="D272" s="23"/>
      <c r="E272" s="23"/>
      <c r="F272" s="23"/>
      <c r="G272" s="23"/>
      <c r="H272" s="23"/>
      <c r="I272" s="23"/>
      <c r="J272" s="23"/>
      <c r="K272" s="23"/>
      <c r="L272" s="23"/>
      <c r="M272" s="23"/>
      <c r="N272" s="23"/>
      <c r="O272" s="1" t="s">
        <v>38</v>
      </c>
    </row>
    <row r="273" spans="1:15" s="1" customFormat="1" x14ac:dyDescent="0.25">
      <c r="A273" s="23"/>
      <c r="B273" s="23"/>
      <c r="C273" s="24"/>
      <c r="D273" s="23"/>
      <c r="E273" s="23"/>
      <c r="F273" s="23"/>
      <c r="G273" s="23"/>
      <c r="H273" s="23"/>
      <c r="I273" s="23"/>
      <c r="J273" s="23"/>
      <c r="K273" s="23"/>
      <c r="L273" s="23"/>
      <c r="M273" s="23"/>
      <c r="N273" s="23"/>
      <c r="O273" s="1" t="s">
        <v>38</v>
      </c>
    </row>
    <row r="274" spans="1:15" s="1" customFormat="1" x14ac:dyDescent="0.25">
      <c r="A274" s="23"/>
      <c r="B274" s="23"/>
      <c r="C274" s="24"/>
      <c r="D274" s="23"/>
      <c r="E274" s="23"/>
      <c r="F274" s="23"/>
      <c r="G274" s="23"/>
      <c r="H274" s="23"/>
      <c r="I274" s="23"/>
      <c r="J274" s="23"/>
      <c r="K274" s="23"/>
      <c r="L274" s="23"/>
      <c r="M274" s="23"/>
      <c r="N274" s="23"/>
      <c r="O274" s="1" t="s">
        <v>38</v>
      </c>
    </row>
    <row r="275" spans="1:15" s="1" customFormat="1" x14ac:dyDescent="0.25">
      <c r="A275" s="23"/>
      <c r="B275" s="23"/>
      <c r="C275" s="24"/>
      <c r="D275" s="23"/>
      <c r="E275" s="23"/>
      <c r="F275" s="23"/>
      <c r="G275" s="23"/>
      <c r="H275" s="23"/>
      <c r="I275" s="23"/>
      <c r="J275" s="23"/>
      <c r="K275" s="23"/>
      <c r="L275" s="23"/>
      <c r="M275" s="23"/>
      <c r="N275" s="23"/>
      <c r="O275" s="1" t="s">
        <v>38</v>
      </c>
    </row>
    <row r="276" spans="1:15" s="1" customFormat="1" x14ac:dyDescent="0.25">
      <c r="A276" s="23"/>
      <c r="B276" s="23"/>
      <c r="C276" s="24"/>
      <c r="D276" s="23"/>
      <c r="E276" s="23"/>
      <c r="F276" s="23"/>
      <c r="G276" s="23"/>
      <c r="H276" s="23"/>
      <c r="I276" s="23"/>
      <c r="J276" s="23"/>
      <c r="K276" s="23"/>
      <c r="L276" s="23"/>
      <c r="M276" s="23"/>
      <c r="N276" s="23"/>
      <c r="O276" s="1" t="s">
        <v>38</v>
      </c>
    </row>
    <row r="277" spans="1:15" s="1" customFormat="1" x14ac:dyDescent="0.25">
      <c r="A277" s="23"/>
      <c r="B277" s="23"/>
      <c r="C277" s="24"/>
      <c r="D277" s="23"/>
      <c r="E277" s="23"/>
      <c r="F277" s="23"/>
      <c r="G277" s="23"/>
      <c r="H277" s="23"/>
      <c r="I277" s="23"/>
      <c r="J277" s="23"/>
      <c r="K277" s="23"/>
      <c r="L277" s="23"/>
      <c r="M277" s="23"/>
      <c r="N277" s="23"/>
      <c r="O277" s="1" t="s">
        <v>38</v>
      </c>
    </row>
    <row r="278" spans="1:15" s="1" customFormat="1" x14ac:dyDescent="0.25">
      <c r="A278" s="23"/>
      <c r="B278" s="23"/>
      <c r="C278" s="24"/>
      <c r="D278" s="23"/>
      <c r="E278" s="23"/>
      <c r="F278" s="23"/>
      <c r="G278" s="23"/>
      <c r="H278" s="23"/>
      <c r="I278" s="23"/>
      <c r="J278" s="23"/>
      <c r="K278" s="23"/>
      <c r="L278" s="23"/>
      <c r="M278" s="23"/>
      <c r="N278" s="23"/>
      <c r="O278" s="1" t="s">
        <v>38</v>
      </c>
    </row>
    <row r="279" spans="1:15" s="1" customFormat="1" x14ac:dyDescent="0.25">
      <c r="A279" s="23"/>
      <c r="B279" s="23"/>
      <c r="C279" s="24"/>
      <c r="D279" s="23"/>
      <c r="E279" s="23"/>
      <c r="F279" s="23"/>
      <c r="G279" s="23"/>
      <c r="H279" s="23"/>
      <c r="I279" s="23"/>
      <c r="J279" s="23"/>
      <c r="K279" s="23"/>
      <c r="L279" s="23"/>
      <c r="M279" s="23"/>
      <c r="N279" s="23"/>
      <c r="O279" s="1" t="s">
        <v>38</v>
      </c>
    </row>
    <row r="280" spans="1:15" s="1" customFormat="1" x14ac:dyDescent="0.25">
      <c r="A280" s="23"/>
      <c r="B280" s="23"/>
      <c r="C280" s="24"/>
      <c r="D280" s="23"/>
      <c r="E280" s="23"/>
      <c r="F280" s="23"/>
      <c r="G280" s="23"/>
      <c r="H280" s="23"/>
      <c r="I280" s="23"/>
      <c r="J280" s="23"/>
      <c r="K280" s="23"/>
      <c r="L280" s="23"/>
      <c r="M280" s="23"/>
      <c r="N280" s="23"/>
      <c r="O280" s="1" t="s">
        <v>38</v>
      </c>
    </row>
    <row r="281" spans="1:15" s="1" customFormat="1" x14ac:dyDescent="0.25">
      <c r="A281" s="23"/>
      <c r="B281" s="23"/>
      <c r="C281" s="24"/>
      <c r="D281" s="23"/>
      <c r="E281" s="23"/>
      <c r="F281" s="23"/>
      <c r="G281" s="23"/>
      <c r="H281" s="23"/>
      <c r="I281" s="23"/>
      <c r="J281" s="23"/>
      <c r="K281" s="23"/>
      <c r="L281" s="23"/>
      <c r="M281" s="23"/>
      <c r="N281" s="23"/>
      <c r="O281" s="1" t="s">
        <v>38</v>
      </c>
    </row>
    <row r="282" spans="1:15" s="1" customFormat="1" x14ac:dyDescent="0.25">
      <c r="A282" s="23"/>
      <c r="B282" s="23"/>
      <c r="C282" s="24"/>
      <c r="D282" s="23"/>
      <c r="E282" s="23"/>
      <c r="F282" s="23"/>
      <c r="G282" s="23"/>
      <c r="H282" s="23"/>
      <c r="I282" s="23"/>
      <c r="J282" s="23"/>
      <c r="K282" s="23"/>
      <c r="L282" s="23"/>
      <c r="M282" s="23"/>
      <c r="N282" s="23"/>
      <c r="O282" s="1" t="s">
        <v>38</v>
      </c>
    </row>
    <row r="283" spans="1:15" s="1" customFormat="1" x14ac:dyDescent="0.25">
      <c r="A283" s="23"/>
      <c r="B283" s="23"/>
      <c r="C283" s="24"/>
      <c r="D283" s="23"/>
      <c r="E283" s="23"/>
      <c r="F283" s="23"/>
      <c r="G283" s="23"/>
      <c r="H283" s="23"/>
      <c r="I283" s="23"/>
      <c r="J283" s="23"/>
      <c r="K283" s="23"/>
      <c r="L283" s="23"/>
      <c r="M283" s="23"/>
      <c r="N283" s="23"/>
      <c r="O283" s="1" t="s">
        <v>38</v>
      </c>
    </row>
    <row r="284" spans="1:15" s="1" customFormat="1" x14ac:dyDescent="0.25">
      <c r="A284" s="23"/>
      <c r="B284" s="23"/>
      <c r="C284" s="24"/>
      <c r="D284" s="23"/>
      <c r="E284" s="23"/>
      <c r="F284" s="23"/>
      <c r="G284" s="23"/>
      <c r="H284" s="23"/>
      <c r="I284" s="23"/>
      <c r="J284" s="23"/>
      <c r="K284" s="23"/>
      <c r="L284" s="23"/>
      <c r="M284" s="23"/>
      <c r="N284" s="23"/>
      <c r="O284" s="1" t="s">
        <v>38</v>
      </c>
    </row>
    <row r="285" spans="1:15" s="1" customFormat="1" x14ac:dyDescent="0.25">
      <c r="A285" s="23"/>
      <c r="B285" s="23"/>
      <c r="C285" s="24"/>
      <c r="D285" s="23"/>
      <c r="E285" s="23"/>
      <c r="F285" s="23"/>
      <c r="G285" s="23"/>
      <c r="H285" s="23"/>
      <c r="I285" s="23"/>
      <c r="J285" s="23"/>
      <c r="K285" s="23"/>
      <c r="L285" s="23"/>
      <c r="M285" s="23"/>
      <c r="N285" s="23"/>
      <c r="O285" s="1" t="s">
        <v>38</v>
      </c>
    </row>
    <row r="286" spans="1:15" s="1" customFormat="1" x14ac:dyDescent="0.25">
      <c r="A286" s="23"/>
      <c r="B286" s="23"/>
      <c r="C286" s="24"/>
      <c r="D286" s="23"/>
      <c r="E286" s="23"/>
      <c r="F286" s="23"/>
      <c r="G286" s="23"/>
      <c r="H286" s="23"/>
      <c r="I286" s="23"/>
      <c r="J286" s="23"/>
      <c r="K286" s="23"/>
      <c r="L286" s="23"/>
      <c r="M286" s="23"/>
      <c r="N286" s="23"/>
      <c r="O286" s="1" t="s">
        <v>38</v>
      </c>
    </row>
    <row r="287" spans="1:15" s="1" customFormat="1" x14ac:dyDescent="0.25">
      <c r="A287" s="23"/>
      <c r="B287" s="23"/>
      <c r="C287" s="24"/>
      <c r="D287" s="23"/>
      <c r="E287" s="23"/>
      <c r="F287" s="23"/>
      <c r="G287" s="23"/>
      <c r="H287" s="23"/>
      <c r="I287" s="23"/>
      <c r="J287" s="23"/>
      <c r="K287" s="23"/>
      <c r="L287" s="23"/>
      <c r="M287" s="23"/>
      <c r="N287" s="23"/>
      <c r="O287" s="1" t="s">
        <v>38</v>
      </c>
    </row>
    <row r="288" spans="1:15" s="1" customFormat="1" x14ac:dyDescent="0.25">
      <c r="A288" s="23"/>
      <c r="B288" s="23"/>
      <c r="C288" s="24"/>
      <c r="D288" s="23"/>
      <c r="E288" s="23"/>
      <c r="F288" s="23"/>
      <c r="G288" s="23"/>
      <c r="H288" s="23"/>
      <c r="I288" s="23"/>
      <c r="J288" s="23"/>
      <c r="K288" s="23"/>
      <c r="L288" s="23"/>
      <c r="M288" s="23"/>
      <c r="N288" s="23"/>
      <c r="O288" s="1" t="s">
        <v>38</v>
      </c>
    </row>
    <row r="289" spans="1:14" s="1" customFormat="1" x14ac:dyDescent="0.25">
      <c r="A289" s="23"/>
      <c r="B289" s="23"/>
      <c r="C289" s="24"/>
      <c r="D289" s="23"/>
      <c r="E289" s="23"/>
      <c r="F289" s="23"/>
      <c r="G289" s="23"/>
      <c r="H289" s="23"/>
      <c r="I289" s="23"/>
      <c r="J289" s="23"/>
      <c r="K289" s="23"/>
      <c r="L289" s="23"/>
      <c r="M289" s="23"/>
      <c r="N289" s="23"/>
    </row>
    <row r="290" spans="1:14" s="1" customFormat="1" x14ac:dyDescent="0.25">
      <c r="A290" s="23"/>
      <c r="B290" s="23"/>
      <c r="C290" s="24"/>
      <c r="D290" s="23"/>
      <c r="E290" s="23"/>
      <c r="F290" s="23"/>
      <c r="G290" s="23"/>
      <c r="H290" s="23"/>
      <c r="I290" s="23"/>
      <c r="J290" s="23"/>
      <c r="K290" s="23"/>
      <c r="L290" s="23"/>
      <c r="M290" s="23"/>
      <c r="N290" s="23"/>
    </row>
    <row r="291" spans="1:14" s="1" customFormat="1" x14ac:dyDescent="0.25">
      <c r="A291" s="23"/>
      <c r="B291" s="23"/>
      <c r="C291" s="24"/>
      <c r="D291" s="23"/>
      <c r="E291" s="23"/>
      <c r="F291" s="23"/>
      <c r="G291" s="23"/>
      <c r="H291" s="23"/>
      <c r="I291" s="23"/>
      <c r="J291" s="23"/>
      <c r="K291" s="23"/>
      <c r="L291" s="23"/>
      <c r="M291" s="23"/>
      <c r="N291" s="23"/>
    </row>
    <row r="292" spans="1:14" s="1" customFormat="1" x14ac:dyDescent="0.25">
      <c r="A292" s="23"/>
      <c r="B292" s="23"/>
      <c r="C292" s="24"/>
      <c r="D292" s="23"/>
      <c r="E292" s="23"/>
      <c r="F292" s="23"/>
      <c r="G292" s="23"/>
      <c r="H292" s="23"/>
      <c r="I292" s="23"/>
      <c r="J292" s="23"/>
      <c r="K292" s="23"/>
      <c r="L292" s="23"/>
      <c r="M292" s="23"/>
      <c r="N292" s="23"/>
    </row>
    <row r="293" spans="1:14" s="1" customFormat="1" x14ac:dyDescent="0.25">
      <c r="A293" s="23"/>
      <c r="B293" s="23"/>
      <c r="C293" s="24"/>
      <c r="D293" s="23"/>
      <c r="E293" s="23"/>
      <c r="F293" s="23"/>
      <c r="G293" s="23"/>
      <c r="H293" s="23"/>
      <c r="I293" s="23"/>
      <c r="J293" s="23"/>
      <c r="K293" s="23"/>
      <c r="L293" s="23"/>
      <c r="M293" s="23"/>
      <c r="N293" s="23"/>
    </row>
    <row r="294" spans="1:14" s="1" customFormat="1" x14ac:dyDescent="0.25">
      <c r="A294" s="23"/>
      <c r="B294" s="23"/>
      <c r="C294" s="24"/>
      <c r="D294" s="23"/>
      <c r="E294" s="23"/>
      <c r="F294" s="23"/>
      <c r="G294" s="23"/>
      <c r="H294" s="23"/>
      <c r="I294" s="23"/>
      <c r="J294" s="23"/>
      <c r="K294" s="23"/>
      <c r="L294" s="23"/>
      <c r="M294" s="23"/>
      <c r="N294" s="23"/>
    </row>
    <row r="295" spans="1:14" s="1" customFormat="1" x14ac:dyDescent="0.25">
      <c r="A295" s="23"/>
      <c r="B295" s="23"/>
      <c r="C295" s="24"/>
      <c r="D295" s="23"/>
      <c r="E295" s="23"/>
      <c r="F295" s="23"/>
      <c r="G295" s="23"/>
      <c r="H295" s="23"/>
      <c r="I295" s="23"/>
      <c r="J295" s="23"/>
      <c r="K295" s="23"/>
      <c r="L295" s="23"/>
      <c r="M295" s="23"/>
      <c r="N295" s="23"/>
    </row>
    <row r="296" spans="1:14" s="1" customFormat="1" x14ac:dyDescent="0.25">
      <c r="A296" s="23"/>
      <c r="B296" s="23"/>
      <c r="C296" s="24"/>
      <c r="D296" s="23"/>
      <c r="E296" s="23"/>
      <c r="F296" s="23"/>
      <c r="G296" s="23"/>
      <c r="H296" s="23"/>
      <c r="I296" s="23"/>
      <c r="J296" s="23"/>
      <c r="K296" s="23"/>
      <c r="L296" s="23"/>
      <c r="M296" s="23"/>
      <c r="N296" s="23"/>
    </row>
  </sheetData>
  <autoFilter ref="A1:N288" xr:uid="{00000000-0009-0000-0000-000003000000}"/>
  <hyperlinks>
    <hyperlink ref="M13" r:id="rId1" display="\\Brpcesfil01\Test_en$\Análises Visuais - Pasta Geral\" xr:uid="{00000000-0004-0000-0300-000000000000}"/>
    <hyperlink ref="M30" r:id="rId2" display="\\Brpcesfil01\Test_en$\Análises Visuais - Pasta Geral\BR0K2M3D10819664007AA00" xr:uid="{00000000-0004-0000-0300-000001000000}"/>
    <hyperlink ref="M31" r:id="rId3" display="\\Brpcesfil01\Test_en$\Análises Visuais - Pasta Geral\BR09WGNT1081967K00T0A00" xr:uid="{00000000-0004-0000-0300-000002000000}"/>
    <hyperlink ref="M18" r:id="rId4" display="\\Brpcesfil01\Test_en$\Análises Visuais - Pasta Geral\BR05XGC81081964L00NSA00.bmp" xr:uid="{00000000-0004-0000-0300-000003000000}"/>
    <hyperlink ref="M17" r:id="rId5" display="\\Brpcesfil01\Test_en$\Análises Visuais - Pasta Geral\BR0W1MP61081965I007YA07.bmp" xr:uid="{00000000-0004-0000-0300-000004000000}"/>
    <hyperlink ref="M16" r:id="rId6" display="\\Brpcesfil01\Test_en$\Análises Visuais - Pasta Geral\BR0W1MP61081965H005MA07.bmp" xr:uid="{00000000-0004-0000-0300-000005000000}"/>
    <hyperlink ref="M11" r:id="rId7" display="\\Brpcesfil01\Test_en$\Análises Visuais - Pasta Geral\BR0MP6TF1081964L001OA04.bmp" xr:uid="{00000000-0004-0000-0300-000006000000}"/>
    <hyperlink ref="M5" r:id="rId8" xr:uid="{00000000-0004-0000-0300-000007000000}"/>
    <hyperlink ref="M47" r:id="rId9" display="\\Brpcesfil01\Test_en$\Análises Visuais - Pasta Geral\BR0K2M3D10819664007AA00" xr:uid="{00000000-0004-0000-0300-000008000000}"/>
    <hyperlink ref="M52" r:id="rId10" display="\\Brpcesfil01\Test_en$\Análises Visuais - Pasta Geral\" xr:uid="{00000000-0004-0000-0300-000009000000}"/>
    <hyperlink ref="M53" r:id="rId11" xr:uid="{00000000-0004-0000-0300-00000A000000}"/>
    <hyperlink ref="M54" r:id="rId12" xr:uid="{00000000-0004-0000-0300-00000B000000}"/>
    <hyperlink ref="M27" r:id="rId13" xr:uid="{00000000-0004-0000-0300-00000C000000}"/>
    <hyperlink ref="M75" r:id="rId14" xr:uid="{00000000-0004-0000-0300-00000D000000}"/>
    <hyperlink ref="M81" r:id="rId15" xr:uid="{00000000-0004-0000-0300-00000E000000}"/>
    <hyperlink ref="M82" r:id="rId16" xr:uid="{00000000-0004-0000-0300-00000F000000}"/>
    <hyperlink ref="M129" r:id="rId17" xr:uid="{00000000-0004-0000-0300-000010000000}"/>
  </hyperlinks>
  <pageMargins left="0.7" right="0.7" top="0.75" bottom="0.75" header="0.3" footer="0.3"/>
  <pageSetup scale="17" orientation="portrait" horizontalDpi="4294967293" r:id="rId18"/>
  <drawing r:id="rId19"/>
  <legacyDrawing r:id="rId20"/>
  <mc:AlternateContent xmlns:mc="http://schemas.openxmlformats.org/markup-compatibility/2006">
    <mc:Choice Requires="x14">
      <controls>
        <mc:AlternateContent xmlns:mc="http://schemas.openxmlformats.org/markup-compatibility/2006">
          <mc:Choice Requires="x14">
            <control shapeId="3073" r:id="rId21" name="Button 1">
              <controlPr defaultSize="0" print="0" autoFill="0" autoPict="0" macro="[0]!Button2_Click">
                <anchor moveWithCells="1" sizeWithCells="1">
                  <from>
                    <xdr:col>0</xdr:col>
                    <xdr:colOff>171450</xdr:colOff>
                    <xdr:row>1</xdr:row>
                    <xdr:rowOff>123825</xdr:rowOff>
                  </from>
                  <to>
                    <xdr:col>0</xdr:col>
                    <xdr:colOff>1981200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F19"/>
  <sheetViews>
    <sheetView showGridLines="0" view="pageBreakPreview" zoomScale="205" zoomScaleSheetLayoutView="205" workbookViewId="0">
      <selection activeCell="C19" sqref="C19"/>
    </sheetView>
  </sheetViews>
  <sheetFormatPr defaultRowHeight="15" x14ac:dyDescent="0.25"/>
  <cols>
    <col min="1" max="1" width="20.85546875" customWidth="1"/>
    <col min="2" max="2" width="17.42578125" customWidth="1"/>
    <col min="3" max="3" width="14.7109375" bestFit="1" customWidth="1"/>
    <col min="4" max="4" width="13.42578125" bestFit="1" customWidth="1"/>
    <col min="5" max="5" width="14.7109375" bestFit="1" customWidth="1"/>
    <col min="6" max="6" width="17.28515625" bestFit="1" customWidth="1"/>
  </cols>
  <sheetData>
    <row r="1" spans="1:6" ht="21" thickBot="1" x14ac:dyDescent="0.35">
      <c r="A1" s="62" t="s">
        <v>489</v>
      </c>
      <c r="B1" s="66" t="s">
        <v>483</v>
      </c>
      <c r="C1" s="67"/>
      <c r="D1" s="67"/>
      <c r="E1" s="67"/>
      <c r="F1" s="68"/>
    </row>
    <row r="2" spans="1:6" ht="15.75" hidden="1" x14ac:dyDescent="0.25">
      <c r="A2" s="45" t="s">
        <v>482</v>
      </c>
      <c r="B2" s="57" t="s">
        <v>475</v>
      </c>
      <c r="C2" s="56" t="s">
        <v>484</v>
      </c>
      <c r="D2" s="56" t="s">
        <v>488</v>
      </c>
      <c r="E2" s="56" t="s">
        <v>487</v>
      </c>
      <c r="F2" s="55" t="s">
        <v>486</v>
      </c>
    </row>
    <row r="3" spans="1:6" ht="15.75" hidden="1" x14ac:dyDescent="0.25">
      <c r="A3" s="40" t="s">
        <v>475</v>
      </c>
      <c r="B3" s="39">
        <v>1</v>
      </c>
      <c r="C3" s="39">
        <f>1*1000</f>
        <v>1000</v>
      </c>
      <c r="D3" s="39">
        <f>C3*1000</f>
        <v>1000000</v>
      </c>
      <c r="E3" s="39">
        <f t="shared" ref="E3:F5" si="0">E4*1000</f>
        <v>1000000000</v>
      </c>
      <c r="F3" s="54">
        <f t="shared" si="0"/>
        <v>1000000000000</v>
      </c>
    </row>
    <row r="4" spans="1:6" ht="15.75" hidden="1" x14ac:dyDescent="0.25">
      <c r="A4" s="40" t="s">
        <v>484</v>
      </c>
      <c r="B4" s="39">
        <f>B3*1000</f>
        <v>1000</v>
      </c>
      <c r="C4" s="39">
        <v>1</v>
      </c>
      <c r="D4" s="39">
        <f>C4*1000</f>
        <v>1000</v>
      </c>
      <c r="E4" s="39">
        <f t="shared" si="0"/>
        <v>1000000</v>
      </c>
      <c r="F4" s="38">
        <f t="shared" si="0"/>
        <v>1000000000</v>
      </c>
    </row>
    <row r="5" spans="1:6" ht="15.75" hidden="1" x14ac:dyDescent="0.25">
      <c r="A5" s="40" t="s">
        <v>488</v>
      </c>
      <c r="B5" s="39">
        <f>B4*1000</f>
        <v>1000000</v>
      </c>
      <c r="C5" s="39">
        <v>1000</v>
      </c>
      <c r="D5" s="39">
        <v>1</v>
      </c>
      <c r="E5" s="39">
        <f t="shared" si="0"/>
        <v>1000</v>
      </c>
      <c r="F5" s="38">
        <f t="shared" si="0"/>
        <v>1000000</v>
      </c>
    </row>
    <row r="6" spans="1:6" ht="15.75" hidden="1" x14ac:dyDescent="0.25">
      <c r="A6" s="40" t="s">
        <v>487</v>
      </c>
      <c r="B6" s="39">
        <f>B5*1000</f>
        <v>1000000000</v>
      </c>
      <c r="C6" s="39">
        <f>C5*1000</f>
        <v>1000000</v>
      </c>
      <c r="D6" s="39">
        <f>D5*1000</f>
        <v>1000</v>
      </c>
      <c r="E6" s="39">
        <v>1</v>
      </c>
      <c r="F6" s="38">
        <f>F7*1000</f>
        <v>1000</v>
      </c>
    </row>
    <row r="7" spans="1:6" ht="15.75" hidden="1" x14ac:dyDescent="0.25">
      <c r="A7" s="40" t="s">
        <v>486</v>
      </c>
      <c r="B7" s="53">
        <f>B6*1000</f>
        <v>1000000000000</v>
      </c>
      <c r="C7" s="39">
        <f>C6*1000</f>
        <v>1000000000</v>
      </c>
      <c r="D7" s="39">
        <f>D6*1000</f>
        <v>1000000</v>
      </c>
      <c r="E7" s="39">
        <f>1000*E6</f>
        <v>1000</v>
      </c>
      <c r="F7" s="38">
        <v>1</v>
      </c>
    </row>
    <row r="8" spans="1:6" ht="32.25" hidden="1" thickBot="1" x14ac:dyDescent="0.3">
      <c r="A8" s="52" t="s">
        <v>485</v>
      </c>
      <c r="B8" s="51" t="s">
        <v>478</v>
      </c>
      <c r="C8" s="51" t="s">
        <v>477</v>
      </c>
      <c r="D8" s="74" t="s">
        <v>476</v>
      </c>
      <c r="E8" s="74"/>
      <c r="F8" s="75"/>
    </row>
    <row r="9" spans="1:6" ht="17.25" thickTop="1" thickBot="1" x14ac:dyDescent="0.3">
      <c r="A9" s="50"/>
      <c r="B9" s="60" t="s">
        <v>488</v>
      </c>
      <c r="C9" s="60" t="s">
        <v>475</v>
      </c>
      <c r="D9" s="76" t="str">
        <f>(INDEX(B3:F7,MATCH(B9,$A$3:$A$7,0),MATCH(C9,B2:F2,0))*A18)&amp;" "&amp;C9</f>
        <v>2000000 Ohms</v>
      </c>
      <c r="E9" s="76"/>
      <c r="F9" s="77"/>
    </row>
    <row r="10" spans="1:6" ht="16.5" hidden="1" thickTop="1" x14ac:dyDescent="0.25">
      <c r="A10" s="49"/>
      <c r="B10" s="48"/>
      <c r="C10" s="48"/>
      <c r="D10" s="47"/>
      <c r="E10" s="47"/>
      <c r="F10" s="46"/>
    </row>
    <row r="11" spans="1:6" ht="21" hidden="1" thickTop="1" x14ac:dyDescent="0.3">
      <c r="A11" s="71" t="s">
        <v>483</v>
      </c>
      <c r="B11" s="72"/>
      <c r="C11" s="72"/>
      <c r="D11" s="72"/>
      <c r="E11" s="72"/>
      <c r="F11" s="73"/>
    </row>
    <row r="12" spans="1:6" ht="15.75" hidden="1" x14ac:dyDescent="0.25">
      <c r="A12" s="45" t="s">
        <v>482</v>
      </c>
      <c r="B12" s="44" t="s">
        <v>475</v>
      </c>
      <c r="C12" s="43" t="s">
        <v>474</v>
      </c>
      <c r="D12" s="43" t="s">
        <v>481</v>
      </c>
      <c r="E12" s="43" t="s">
        <v>480</v>
      </c>
      <c r="F12" s="42" t="s">
        <v>479</v>
      </c>
    </row>
    <row r="13" spans="1:6" ht="15.75" hidden="1" x14ac:dyDescent="0.25">
      <c r="A13" s="40" t="s">
        <v>475</v>
      </c>
      <c r="B13" s="39">
        <v>1</v>
      </c>
      <c r="C13" s="39">
        <f>1/1000</f>
        <v>1E-3</v>
      </c>
      <c r="D13" s="39">
        <f>C13/1000</f>
        <v>9.9999999999999995E-7</v>
      </c>
      <c r="E13" s="39">
        <f t="shared" ref="E13:F15" si="1">E14/1000</f>
        <v>9.9999999999999986E-10</v>
      </c>
      <c r="F13" s="41">
        <f t="shared" si="1"/>
        <v>9.9999999999999978E-13</v>
      </c>
    </row>
    <row r="14" spans="1:6" ht="15.75" hidden="1" x14ac:dyDescent="0.25">
      <c r="A14" s="40" t="s">
        <v>474</v>
      </c>
      <c r="B14" s="39">
        <f>B13/1000</f>
        <v>1E-3</v>
      </c>
      <c r="C14" s="39">
        <v>1</v>
      </c>
      <c r="D14" s="39">
        <f>C14/1000</f>
        <v>1E-3</v>
      </c>
      <c r="E14" s="39">
        <f t="shared" si="1"/>
        <v>9.9999999999999995E-7</v>
      </c>
      <c r="F14" s="38">
        <f t="shared" si="1"/>
        <v>9.9999999999999986E-10</v>
      </c>
    </row>
    <row r="15" spans="1:6" ht="15.75" hidden="1" x14ac:dyDescent="0.25">
      <c r="A15" s="40" t="s">
        <v>481</v>
      </c>
      <c r="B15" s="39">
        <f>B14/1000</f>
        <v>9.9999999999999995E-7</v>
      </c>
      <c r="C15" s="39">
        <f>1/1000</f>
        <v>1E-3</v>
      </c>
      <c r="D15" s="39">
        <v>1</v>
      </c>
      <c r="E15" s="39">
        <f t="shared" si="1"/>
        <v>1E-3</v>
      </c>
      <c r="F15" s="38">
        <f t="shared" si="1"/>
        <v>9.9999999999999995E-7</v>
      </c>
    </row>
    <row r="16" spans="1:6" ht="15.75" hidden="1" x14ac:dyDescent="0.25">
      <c r="A16" s="40" t="s">
        <v>480</v>
      </c>
      <c r="B16" s="39">
        <f>B15/1000</f>
        <v>9.9999999999999986E-10</v>
      </c>
      <c r="C16" s="39">
        <f>C15/1000</f>
        <v>9.9999999999999995E-7</v>
      </c>
      <c r="D16" s="39">
        <f>D15/1000</f>
        <v>1E-3</v>
      </c>
      <c r="E16" s="39">
        <v>1</v>
      </c>
      <c r="F16" s="38">
        <f>F17/1000</f>
        <v>1E-3</v>
      </c>
    </row>
    <row r="17" spans="1:6" ht="16.5" hidden="1" thickBot="1" x14ac:dyDescent="0.3">
      <c r="A17" s="37" t="s">
        <v>479</v>
      </c>
      <c r="B17" s="36">
        <f>B16/1000</f>
        <v>9.9999999999999978E-13</v>
      </c>
      <c r="C17" s="35">
        <f>C16/1000</f>
        <v>9.9999999999999986E-10</v>
      </c>
      <c r="D17" s="35">
        <f>D16/1000</f>
        <v>9.9999999999999995E-7</v>
      </c>
      <c r="E17" s="35">
        <f>E16/1000</f>
        <v>1E-3</v>
      </c>
      <c r="F17" s="34">
        <v>1</v>
      </c>
    </row>
    <row r="18" spans="1:6" ht="33" thickTop="1" thickBot="1" x14ac:dyDescent="0.3">
      <c r="A18" s="58">
        <v>2</v>
      </c>
      <c r="B18" s="59" t="s">
        <v>478</v>
      </c>
      <c r="C18" s="59" t="s">
        <v>477</v>
      </c>
      <c r="D18" s="78" t="s">
        <v>476</v>
      </c>
      <c r="E18" s="78"/>
      <c r="F18" s="79"/>
    </row>
    <row r="19" spans="1:6" ht="16.5" thickBot="1" x14ac:dyDescent="0.3">
      <c r="A19" s="33"/>
      <c r="B19" s="61" t="s">
        <v>481</v>
      </c>
      <c r="C19" s="61" t="s">
        <v>475</v>
      </c>
      <c r="D19" s="69" t="str">
        <f>(INDEX(B13:F17,MATCH(B19,$A$13:$A$17,0),MATCH(C19,B12:F12,0))*A18)&amp;" "&amp;C19</f>
        <v>0,000002 Ohms</v>
      </c>
      <c r="E19" s="69"/>
      <c r="F19" s="70"/>
    </row>
  </sheetData>
  <mergeCells count="6">
    <mergeCell ref="B1:F1"/>
    <mergeCell ref="D19:F19"/>
    <mergeCell ref="A11:F11"/>
    <mergeCell ref="D8:F8"/>
    <mergeCell ref="D9:F9"/>
    <mergeCell ref="D18:F18"/>
  </mergeCells>
  <dataValidations count="2">
    <dataValidation type="list" allowBlank="1" showInputMessage="1" showErrorMessage="1" sqref="B19:C19" xr:uid="{00000000-0002-0000-0400-000000000000}">
      <formula1>$A$13:$A$17</formula1>
    </dataValidation>
    <dataValidation type="list" allowBlank="1" showInputMessage="1" showErrorMessage="1" sqref="B9:C10" xr:uid="{00000000-0002-0000-0400-000001000000}">
      <formula1>$A$3:$A$7</formula1>
    </dataValidation>
  </dataValidations>
  <pageMargins left="0.7" right="0.7" top="0.75" bottom="0.75" header="0.3" footer="0.3"/>
  <pageSetup scale="91"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Button2_Click">
                <anchor moveWithCells="1" sizeWithCells="1">
                  <from>
                    <xdr:col>0</xdr:col>
                    <xdr:colOff>19050</xdr:colOff>
                    <xdr:row>19</xdr:row>
                    <xdr:rowOff>123825</xdr:rowOff>
                  </from>
                  <to>
                    <xdr:col>1</xdr:col>
                    <xdr:colOff>9525</xdr:colOff>
                    <xdr:row>23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DEV</vt:lpstr>
      <vt:lpstr>'Banco de Dados'!Print_Area</vt:lpstr>
      <vt:lpstr>DEV!Print_Area</vt:lpstr>
      <vt:lpstr>MENU!Print_Area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Logbook System</dc:title>
  <dc:creator>rafael.lisboa</dc:creator>
  <cp:lastModifiedBy>rafael.lisboa</cp:lastModifiedBy>
  <dcterms:created xsi:type="dcterms:W3CDTF">2006-09-16T00:00:00Z</dcterms:created>
  <dcterms:modified xsi:type="dcterms:W3CDTF">2019-09-03T18:41:10Z</dcterms:modified>
</cp:coreProperties>
</file>