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G:\14 - VBA_Projects\doublecheck_BIOS\to_git\"/>
    </mc:Choice>
  </mc:AlternateContent>
  <xr:revisionPtr revIDLastSave="0" documentId="13_ncr:1_{ACAAF139-CE41-4024-ADAA-FC1B65622181}" xr6:coauthVersionLast="45" xr6:coauthVersionMax="45" xr10:uidLastSave="{00000000-0000-0000-0000-000000000000}"/>
  <bookViews>
    <workbookView showHorizontalScroll="0" showVerticalScroll="0" showSheetTabs="0" xWindow="-120" yWindow="-120" windowWidth="20730" windowHeight="11160" activeTab="2" xr2:uid="{00000000-000D-0000-FFFF-FFFF00000000}"/>
  </bookViews>
  <sheets>
    <sheet name="MENU" sheetId="4" r:id="rId1"/>
    <sheet name="DEV" sheetId="2" state="veryHidden" r:id="rId2"/>
    <sheet name="Aux_1" sheetId="5" r:id="rId3"/>
    <sheet name="Banco de Dados" sheetId="6" state="veryHidden" r:id="rId4"/>
    <sheet name="Conversao" sheetId="7" state="veryHidden" r:id="rId5"/>
  </sheets>
  <definedNames>
    <definedName name="_xlnm._FilterDatabase" localSheetId="3" hidden="1">'Banco de Dados'!$B$1:$O$301</definedName>
    <definedName name="_xlnm.Print_Area" localSheetId="3">'Banco de Dados'!$A$1:$O$299</definedName>
    <definedName name="_xlnm.Print_Area" localSheetId="1">DEV!$A$1:$H$20</definedName>
    <definedName name="_xlnm.Print_Area" localSheetId="0">MENU!$A$1:$Z$35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5" l="1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B2" i="5" l="1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E17" i="7" l="1"/>
  <c r="F16" i="7"/>
  <c r="F15" i="7" s="1"/>
  <c r="F14" i="7" s="1"/>
  <c r="F13" i="7" s="1"/>
  <c r="D16" i="7"/>
  <c r="D17" i="7" s="1"/>
  <c r="E15" i="7"/>
  <c r="E14" i="7" s="1"/>
  <c r="E13" i="7" s="1"/>
  <c r="C15" i="7"/>
  <c r="C16" i="7" s="1"/>
  <c r="C17" i="7" s="1"/>
  <c r="D14" i="7"/>
  <c r="B14" i="7"/>
  <c r="B15" i="7" s="1"/>
  <c r="B16" i="7" s="1"/>
  <c r="B17" i="7" s="1"/>
  <c r="C13" i="7"/>
  <c r="D13" i="7" s="1"/>
  <c r="E7" i="7"/>
  <c r="F6" i="7"/>
  <c r="F5" i="7" s="1"/>
  <c r="F4" i="7" s="1"/>
  <c r="F3" i="7" s="1"/>
  <c r="D6" i="7"/>
  <c r="D7" i="7" s="1"/>
  <c r="C6" i="7"/>
  <c r="C7" i="7" s="1"/>
  <c r="E5" i="7"/>
  <c r="E4" i="7" s="1"/>
  <c r="E3" i="7" s="1"/>
  <c r="D4" i="7"/>
  <c r="B4" i="7"/>
  <c r="B5" i="7" s="1"/>
  <c r="B6" i="7" s="1"/>
  <c r="B7" i="7" s="1"/>
  <c r="C3" i="7"/>
  <c r="D9" i="7" l="1"/>
  <c r="D19" i="7"/>
  <c r="D3" i="7"/>
</calcChain>
</file>

<file path=xl/sharedStrings.xml><?xml version="1.0" encoding="utf-8"?>
<sst xmlns="http://schemas.openxmlformats.org/spreadsheetml/2006/main" count="4141" uniqueCount="890">
  <si>
    <t xml:space="preserve"> </t>
  </si>
  <si>
    <t>Ohms(m)</t>
  </si>
  <si>
    <t>Ohms</t>
  </si>
  <si>
    <t>Equivale a</t>
  </si>
  <si>
    <t>Convertido para</t>
  </si>
  <si>
    <t>Expresso  em ...</t>
  </si>
  <si>
    <t>Ohms(p)</t>
  </si>
  <si>
    <t>Ohms(n)</t>
  </si>
  <si>
    <t>Ohms(u)</t>
  </si>
  <si>
    <t>De / Para</t>
  </si>
  <si>
    <t>Tabela de Conversão</t>
  </si>
  <si>
    <t>Ohms(K)</t>
  </si>
  <si>
    <t>Valor  Original</t>
  </si>
  <si>
    <t>Ohms(T)</t>
  </si>
  <si>
    <t>Ohms(G)</t>
  </si>
  <si>
    <t>Ohms(M)</t>
  </si>
  <si>
    <t>Valor:</t>
  </si>
  <si>
    <t>X2DP6</t>
  </si>
  <si>
    <t xml:space="preserve">KYLO REN MLK - WHL I5 DSC </t>
  </si>
  <si>
    <t>KYLO_REN</t>
  </si>
  <si>
    <t>MXIC</t>
  </si>
  <si>
    <t>B69ACEDE</t>
  </si>
  <si>
    <t>B69ECADE</t>
  </si>
  <si>
    <t>MX25L12872FM2I-10G</t>
  </si>
  <si>
    <t>D7TT7-BIOS1-A08</t>
  </si>
  <si>
    <t>NB072.25128.0D61</t>
  </si>
  <si>
    <t>A08 (1.9.0)</t>
  </si>
  <si>
    <t>Notebook</t>
  </si>
  <si>
    <t>EOL</t>
  </si>
  <si>
    <t>GIGADEVICE</t>
  </si>
  <si>
    <t>B69DCBDE</t>
  </si>
  <si>
    <t>GD25B127DSIGR</t>
  </si>
  <si>
    <t>NB072.25127.0001</t>
  </si>
  <si>
    <t>WINBOND</t>
  </si>
  <si>
    <t>W25Q128JVSIQ</t>
  </si>
  <si>
    <t>NB072.25128.0B51</t>
  </si>
  <si>
    <t>0043C036</t>
  </si>
  <si>
    <t>W25Q80DVSNIG</t>
  </si>
  <si>
    <t>TYPEC-U7205-KRM</t>
  </si>
  <si>
    <t>NB072.25Q80.0C01</t>
  </si>
  <si>
    <t>V32</t>
  </si>
  <si>
    <t>MX25L8006EM1I-12G</t>
  </si>
  <si>
    <t>NB072.25806.0A01</t>
  </si>
  <si>
    <t>0242FB3F</t>
  </si>
  <si>
    <t>W25X20CLSNIG</t>
  </si>
  <si>
    <t>HDMI-U5702</t>
  </si>
  <si>
    <t>NB72.25200.001</t>
  </si>
  <si>
    <t>0x34</t>
    <phoneticPr fontId="1" type="noConversion"/>
  </si>
  <si>
    <t>MX25L2006EM1I-12G</t>
  </si>
  <si>
    <t>NB72.25X20.001</t>
  </si>
  <si>
    <t>W83FH</t>
  </si>
  <si>
    <t>KYLO REN MLK - WHL I7 DSC</t>
  </si>
  <si>
    <t xml:space="preserve">NMPHW </t>
  </si>
  <si>
    <t xml:space="preserve">BUCKY 14 WHL N5 I5-8265U </t>
  </si>
  <si>
    <t>BUCKY_N5_V5</t>
  </si>
  <si>
    <t>B5CEC1BB</t>
  </si>
  <si>
    <t>B5D2BDBB</t>
  </si>
  <si>
    <t>32H24-U2501-A03</t>
  </si>
  <si>
    <t>A05_(2.2.0)</t>
  </si>
  <si>
    <t>B5D1BEBB</t>
  </si>
  <si>
    <t>00438076</t>
  </si>
  <si>
    <t>0FBDF676</t>
  </si>
  <si>
    <t>TYPEC-U7205-BKY</t>
  </si>
  <si>
    <t>NB072.25Q80.0B01</t>
  </si>
  <si>
    <t>7G539</t>
  </si>
  <si>
    <t xml:space="preserve">BUCKY 14 WHL N5 I7-8565U </t>
  </si>
  <si>
    <t>32H24-U2501-A04</t>
  </si>
  <si>
    <t>4YNN4</t>
  </si>
  <si>
    <t xml:space="preserve">BUCKY 14 WHL V5 I5-8265U </t>
  </si>
  <si>
    <t>H42M5-U2501-A02</t>
  </si>
  <si>
    <t>A02 (2.2.0)</t>
  </si>
  <si>
    <t>WT8NK</t>
  </si>
  <si>
    <t xml:space="preserve">BUCKY 14 WHL V5 I7-8565U </t>
  </si>
  <si>
    <t>BUCKY 14 WHL V5 I7-8565U</t>
  </si>
  <si>
    <t>VX936</t>
  </si>
  <si>
    <t xml:space="preserve">LOKI V3 KBL-R I3 UMA </t>
  </si>
  <si>
    <t>LOKI_KBL</t>
  </si>
  <si>
    <t>C438B410</t>
  </si>
  <si>
    <t>C43BB110</t>
  </si>
  <si>
    <t>SA00005VV20</t>
  </si>
  <si>
    <t>A06(1.6.0)</t>
  </si>
  <si>
    <t>ACTIVE</t>
  </si>
  <si>
    <t>C43AB210</t>
  </si>
  <si>
    <t>MX25L12873FM2I-10G</t>
  </si>
  <si>
    <t>SA00006O300</t>
  </si>
  <si>
    <t>SA0000A8J10</t>
  </si>
  <si>
    <t>YK2K8</t>
  </si>
  <si>
    <t xml:space="preserve">LOKI N3 KBL-R I3 UMA </t>
  </si>
  <si>
    <t>P7V5R</t>
  </si>
  <si>
    <t xml:space="preserve">LOKI V3 KBL I3 UMA </t>
  </si>
  <si>
    <t>C44196B3</t>
  </si>
  <si>
    <t>C44493B3</t>
  </si>
  <si>
    <t>A05(1.5.0)</t>
  </si>
  <si>
    <t>C44394B3</t>
  </si>
  <si>
    <t>5RCHV</t>
  </si>
  <si>
    <t xml:space="preserve">LOKI N3 KBL I3 UMA </t>
  </si>
  <si>
    <t>D9HDX</t>
  </si>
  <si>
    <t xml:space="preserve">LOKI V3 WHL-U I3 UMA </t>
  </si>
  <si>
    <t>LOKI_WHL</t>
  </si>
  <si>
    <t>BD75F94F</t>
  </si>
  <si>
    <t>BD78F64F</t>
  </si>
  <si>
    <t>NXT4P-UC3-A07</t>
  </si>
  <si>
    <t>A07(1.7.0)</t>
  </si>
  <si>
    <t>BD77F74F</t>
  </si>
  <si>
    <t>DC2CG</t>
  </si>
  <si>
    <t>LOKI N3 WHL-U I3 UMA</t>
  </si>
  <si>
    <t>TNYFJ</t>
  </si>
  <si>
    <t>LOKI V3 WHL I5 DSC</t>
  </si>
  <si>
    <t>KD03P</t>
  </si>
  <si>
    <t xml:space="preserve">LOKI N3 WHL I7 DSC </t>
  </si>
  <si>
    <t>NN4D6</t>
  </si>
  <si>
    <t xml:space="preserve">LOKI N3 WHL I5 DSC </t>
  </si>
  <si>
    <t>GNNM2</t>
  </si>
  <si>
    <t>LOKI V3 WHL-U I5 UMA</t>
  </si>
  <si>
    <t>T0MC0</t>
  </si>
  <si>
    <t>LOKI N3 WHL-U I5 UMA</t>
  </si>
  <si>
    <t>DXF6K</t>
  </si>
  <si>
    <t>LOKI N3 WHL I7 UMA</t>
  </si>
  <si>
    <t>JJT20</t>
  </si>
  <si>
    <t xml:space="preserve">BOLT L WHL I7-8565U UMA </t>
  </si>
  <si>
    <t>BOLT</t>
  </si>
  <si>
    <t>B7FF0C70</t>
  </si>
  <si>
    <t>B8030870</t>
  </si>
  <si>
    <t>KDNHH-A11</t>
  </si>
  <si>
    <t>A11(1.11.0)</t>
  </si>
  <si>
    <t>BOLT L WHL I7-8565U UMA</t>
  </si>
  <si>
    <t>B8020970</t>
  </si>
  <si>
    <t>F3V5W</t>
  </si>
  <si>
    <t xml:space="preserve">BOLT L WHL I3-8145U UMA </t>
  </si>
  <si>
    <t>0269H</t>
  </si>
  <si>
    <t xml:space="preserve">BOLT L WHL I5-8265U UMA </t>
  </si>
  <si>
    <t>JW6C6</t>
  </si>
  <si>
    <t>TURTLE BAY MT</t>
  </si>
  <si>
    <t>TURTLE_BAY</t>
  </si>
  <si>
    <t>D1C2B4D1</t>
  </si>
  <si>
    <t>96C49A60</t>
  </si>
  <si>
    <t>MX25L25673GM2I-08G</t>
  </si>
  <si>
    <t>8KWYJ-F3U1-A07</t>
  </si>
  <si>
    <t>0500-036M0DE</t>
  </si>
  <si>
    <t>A07(1.1.6)</t>
  </si>
  <si>
    <t>Desktop</t>
  </si>
  <si>
    <t>M8K4M</t>
  </si>
  <si>
    <t>BLUE SKULL</t>
  </si>
  <si>
    <t>BLUESKULL</t>
  </si>
  <si>
    <t>CC593B10</t>
  </si>
  <si>
    <t>CC5B3910</t>
  </si>
  <si>
    <t>0VKWM-U7-A04</t>
  </si>
  <si>
    <t>72.12873.001</t>
  </si>
  <si>
    <t>A04 (1.3.2)</t>
  </si>
  <si>
    <t>CC5C3810</t>
  </si>
  <si>
    <t>072.25128.0B51</t>
  </si>
  <si>
    <t>GD25B128CSIGR</t>
  </si>
  <si>
    <t>072.25128.0H01</t>
  </si>
  <si>
    <t>RT6HT</t>
  </si>
  <si>
    <t>BISON MLK MT</t>
  </si>
  <si>
    <t>BISON_MLK</t>
  </si>
  <si>
    <t>MICRON</t>
  </si>
  <si>
    <t>Não Disponível</t>
  </si>
  <si>
    <t>MT25QL256ABA8ESF-0SIT</t>
  </si>
  <si>
    <t>25CCF-U8-A06</t>
  </si>
  <si>
    <t>072.25256.0E01</t>
  </si>
  <si>
    <t>A06(1.3.1)</t>
  </si>
  <si>
    <t>8EC416DA</t>
  </si>
  <si>
    <t>8ED900DA</t>
  </si>
  <si>
    <t>GD25B256DFIGR</t>
  </si>
  <si>
    <t>072.25256.000D</t>
  </si>
  <si>
    <t>8EC415DA</t>
  </si>
  <si>
    <t>W25Q256JVFIQ</t>
  </si>
  <si>
    <t>072.25256.0H01</t>
  </si>
  <si>
    <t>8EC316DA</t>
  </si>
  <si>
    <t>MX25L25673GMI-08G</t>
  </si>
  <si>
    <t>KPGWY-SPI2-A06</t>
  </si>
  <si>
    <t>072.25256.0I01</t>
  </si>
  <si>
    <t>7VWPG</t>
  </si>
  <si>
    <t xml:space="preserve">BISON SFF MLK </t>
  </si>
  <si>
    <t>MX25L25673GMI-10G</t>
  </si>
  <si>
    <t>410512T00-233-H</t>
  </si>
  <si>
    <t>410517J00-36F-H</t>
  </si>
  <si>
    <t>410510L00-205-H</t>
  </si>
  <si>
    <t>410512L00-233-H</t>
  </si>
  <si>
    <t>497YT</t>
  </si>
  <si>
    <t>XT4CY</t>
  </si>
  <si>
    <t>BISON MFF MLK</t>
  </si>
  <si>
    <t>25CCF-U9435-A06</t>
  </si>
  <si>
    <t>0500-03G00DE</t>
  </si>
  <si>
    <t>0500-03K80DE</t>
  </si>
  <si>
    <t>0500-02BG0DE</t>
  </si>
  <si>
    <t>0500-03830DE</t>
  </si>
  <si>
    <t>2JRX3</t>
  </si>
  <si>
    <t>P99M4</t>
  </si>
  <si>
    <t xml:space="preserve">COUGAR SFF MLK </t>
  </si>
  <si>
    <t>COUGAR_MLK</t>
  </si>
  <si>
    <t>B08E6829</t>
  </si>
  <si>
    <t>B0906629</t>
  </si>
  <si>
    <t>B0A65029</t>
  </si>
  <si>
    <t>B0916529</t>
  </si>
  <si>
    <t>X7WJC</t>
  </si>
  <si>
    <t>KRXWM</t>
  </si>
  <si>
    <t>COUGAR MFF MLK</t>
  </si>
  <si>
    <t>YVN3X</t>
  </si>
  <si>
    <t>VFG7D</t>
  </si>
  <si>
    <t xml:space="preserve">ELK SFF MLK </t>
  </si>
  <si>
    <t>ELK_MLK</t>
  </si>
  <si>
    <t>D15C649E</t>
  </si>
  <si>
    <t>8E3C3ADE</t>
  </si>
  <si>
    <t>N8FN8-SPI2-A04</t>
  </si>
  <si>
    <t>A04(1.1.3)</t>
  </si>
  <si>
    <t>8E5224DE</t>
  </si>
  <si>
    <t>8E3D39DE</t>
  </si>
  <si>
    <t>1J4MK</t>
  </si>
  <si>
    <t>Mongoose UFF</t>
  </si>
  <si>
    <t>MONGOOSE</t>
  </si>
  <si>
    <t>D48F1D58</t>
  </si>
  <si>
    <t>964BB0A1</t>
  </si>
  <si>
    <t>9330H-U2502-A04</t>
  </si>
  <si>
    <t>A04 (1.1.2)</t>
  </si>
  <si>
    <t>96619AA1</t>
  </si>
  <si>
    <t>9649F261</t>
  </si>
  <si>
    <t>964CAFA1</t>
  </si>
  <si>
    <t>00E232FA</t>
  </si>
  <si>
    <t>005500BA</t>
  </si>
  <si>
    <t>TYPEC-U7202-MGS</t>
  </si>
  <si>
    <t>072.25806.0A01</t>
  </si>
  <si>
    <t>A00 (1.0.1)</t>
  </si>
  <si>
    <t>072.25Q80.0C01</t>
  </si>
  <si>
    <t>J56FD</t>
  </si>
  <si>
    <t>Cheetah MFF</t>
  </si>
  <si>
    <t>CHEETAH</t>
  </si>
  <si>
    <t>9D3B74FB</t>
  </si>
  <si>
    <t>05V1K-U21-A01</t>
  </si>
  <si>
    <t>A01(1.0.5)</t>
  </si>
  <si>
    <t>NPI</t>
  </si>
  <si>
    <t>9D2689FB</t>
  </si>
  <si>
    <t>9D238CFB</t>
  </si>
  <si>
    <t>9D258AFB</t>
  </si>
  <si>
    <t>HF12H</t>
  </si>
  <si>
    <t>G72HD</t>
  </si>
  <si>
    <t>Cheetah SFF</t>
  </si>
  <si>
    <t>05V1K-U2502-A01</t>
  </si>
  <si>
    <t>PVKY8</t>
  </si>
  <si>
    <t>9JNHG</t>
  </si>
  <si>
    <t>Rhino MFF</t>
  </si>
  <si>
    <t>RHINO</t>
  </si>
  <si>
    <t>A01(1.0.3)</t>
  </si>
  <si>
    <t>CTV0X</t>
  </si>
  <si>
    <t>YGYJY</t>
  </si>
  <si>
    <t>Rhino SFF</t>
  </si>
  <si>
    <t>Y74M0</t>
  </si>
  <si>
    <t>YDKD6</t>
  </si>
  <si>
    <t>Zebra SFF</t>
  </si>
  <si>
    <t>ZEBRA</t>
  </si>
  <si>
    <t>793CB01B</t>
  </si>
  <si>
    <t>4J25N-U2502-A01</t>
  </si>
  <si>
    <t>7924C81B</t>
  </si>
  <si>
    <t>7927C51B</t>
  </si>
  <si>
    <t>7926C61B</t>
  </si>
  <si>
    <t>1XK1W</t>
  </si>
  <si>
    <t>Buteo SFF</t>
  </si>
  <si>
    <t>BUTEO</t>
  </si>
  <si>
    <t>9C718C10</t>
  </si>
  <si>
    <t>9C5CA110</t>
  </si>
  <si>
    <t>9C59A410</t>
  </si>
  <si>
    <t>9C5BA210</t>
  </si>
  <si>
    <t>H4CR2</t>
  </si>
  <si>
    <t>BLUEMOON - PCBA</t>
  </si>
  <si>
    <t>BLUEMOON</t>
  </si>
  <si>
    <t>XILINX</t>
  </si>
  <si>
    <t>000BBBF0</t>
  </si>
  <si>
    <t>XC2C64A-7VQG100C</t>
  </si>
  <si>
    <t>C0D2C-CPLD-A00</t>
  </si>
  <si>
    <t>283001000029</t>
  </si>
  <si>
    <t>A00</t>
  </si>
  <si>
    <t>Server</t>
  </si>
  <si>
    <t>NUMONYX</t>
  </si>
  <si>
    <t>JS28F128M29EWLA</t>
  </si>
  <si>
    <t>C0D2C-FLASH-A00</t>
  </si>
  <si>
    <t>2834C3150001</t>
  </si>
  <si>
    <t>MACRONIX</t>
  </si>
  <si>
    <t>E64C0378</t>
  </si>
  <si>
    <t>MX29GL128FDT2I-11G</t>
  </si>
  <si>
    <t>T19M8</t>
  </si>
  <si>
    <t>BLUEMOON - NEW PCBA</t>
  </si>
  <si>
    <t>4DCV0-FLASH-A00</t>
  </si>
  <si>
    <t>E63C44C8</t>
  </si>
  <si>
    <t>411GW</t>
  </si>
  <si>
    <t>FARALLON MT KBL</t>
  </si>
  <si>
    <t>FARALLON</t>
  </si>
  <si>
    <t>B1EF739D</t>
  </si>
  <si>
    <t>B1EFB35D</t>
  </si>
  <si>
    <t>N25Q128A13ESEDFF</t>
  </si>
  <si>
    <t>56PH9-SPI1-A15</t>
  </si>
  <si>
    <t>410510B00-216-H</t>
  </si>
  <si>
    <t>A15 (2.10.2)</t>
  </si>
  <si>
    <t>B1F1719D</t>
  </si>
  <si>
    <t>41050SJ00-233-H</t>
  </si>
  <si>
    <t>B1F2709D</t>
  </si>
  <si>
    <t>41050UY00-36F-H</t>
  </si>
  <si>
    <t>OUGAD</t>
  </si>
  <si>
    <t>OUGA13</t>
  </si>
  <si>
    <t>OUGA</t>
  </si>
  <si>
    <t>ISSI</t>
  </si>
  <si>
    <t>PM25LQ010B-SCE-TR</t>
  </si>
  <si>
    <t>OUGA13-U11-A00</t>
  </si>
  <si>
    <t>M31-25010A3-I13</t>
  </si>
  <si>
    <t>Graphic Card</t>
  </si>
  <si>
    <t>00E171F2</t>
  </si>
  <si>
    <t>MX25L1006EMI-10G(T)</t>
  </si>
  <si>
    <t>M31-25L1022-M24</t>
  </si>
  <si>
    <t>SST</t>
  </si>
  <si>
    <t>SST25VF010A-33-4C-SAE</t>
  </si>
  <si>
    <t>M31-2501093-S20</t>
  </si>
  <si>
    <t>TR9DC</t>
  </si>
  <si>
    <t>PUNISHER AIO I7</t>
  </si>
  <si>
    <t>PUNISHER_KBL</t>
  </si>
  <si>
    <t>CA7EF391</t>
  </si>
  <si>
    <t>CA81F091</t>
  </si>
  <si>
    <t>W25Q128FVSIQ</t>
  </si>
  <si>
    <t>TW22H-E55-A10</t>
  </si>
  <si>
    <t>0500-030L000</t>
  </si>
  <si>
    <t>A10 - 1.10.0</t>
  </si>
  <si>
    <t>AIO</t>
  </si>
  <si>
    <t>0500-030W000</t>
  </si>
  <si>
    <t>CA80F191</t>
  </si>
  <si>
    <t>0500-01JC000</t>
  </si>
  <si>
    <t>001374B7</t>
  </si>
  <si>
    <t>M24C64-WMN6TP</t>
  </si>
  <si>
    <t>SCALAR-U3900</t>
  </si>
  <si>
    <t>0502-001M000</t>
  </si>
  <si>
    <t>N/A</t>
  </si>
  <si>
    <t>CHINGS</t>
  </si>
  <si>
    <t>00F294B7</t>
  </si>
  <si>
    <t>GT24C64A-2GLI-TR</t>
  </si>
  <si>
    <t>0502-00LK000</t>
  </si>
  <si>
    <t>YKWK2</t>
  </si>
  <si>
    <t>PUNISHER AIO I5</t>
  </si>
  <si>
    <t>P80T9</t>
  </si>
  <si>
    <t>PUNISHER AIO i3</t>
  </si>
  <si>
    <t>R23KR</t>
  </si>
  <si>
    <t>MATIRA 3 CLX</t>
  </si>
  <si>
    <t>MATIRA_3_CLX</t>
  </si>
  <si>
    <t>LATTICE</t>
  </si>
  <si>
    <t>LCMXO3LF-2100C-5BG256C7U</t>
  </si>
  <si>
    <t>MTR-CPLD-A08</t>
  </si>
  <si>
    <t>220107800-247-H</t>
  </si>
  <si>
    <t>A08(X48)</t>
  </si>
  <si>
    <t>0035F2A5</t>
  </si>
  <si>
    <t>LCMXO3LF-2100C-5BG256C</t>
  </si>
  <si>
    <t>220106Q00-247-H</t>
  </si>
  <si>
    <t>DF963A4C</t>
  </si>
  <si>
    <t>9CF555E2</t>
  </si>
  <si>
    <t>RHCXM-BIOS-A02</t>
  </si>
  <si>
    <t>A02 (2.0.2)</t>
  </si>
  <si>
    <t>9CF456E2</t>
  </si>
  <si>
    <t>41050YT00-216-H</t>
  </si>
  <si>
    <t>074EE60A</t>
  </si>
  <si>
    <t>W25X40CLSSIG</t>
  </si>
  <si>
    <t>MTRCLX-EC-A01</t>
  </si>
  <si>
    <t>41050RL00-205-H</t>
  </si>
  <si>
    <t>A01(1.00.22)</t>
  </si>
  <si>
    <t>0752E20A</t>
  </si>
  <si>
    <t>MX25V4035FM2I</t>
  </si>
  <si>
    <t>410512J00-233-H</t>
  </si>
  <si>
    <t>T88YD</t>
  </si>
  <si>
    <t>VMAX CFL-R</t>
  </si>
  <si>
    <t>VMAX_CFL_R</t>
  </si>
  <si>
    <t>0500-030L0DE</t>
  </si>
  <si>
    <t>0500-036Q0DE</t>
  </si>
  <si>
    <t>MX25L12873FM2I-10GR</t>
  </si>
  <si>
    <t>0500-01JC0DE</t>
  </si>
  <si>
    <t>00721739</t>
  </si>
  <si>
    <t>MX25L512EMI-10GR</t>
  </si>
  <si>
    <t>TYPEC-F3U2-0859</t>
  </si>
  <si>
    <t>0500-015H000</t>
  </si>
  <si>
    <t>00761339</t>
  </si>
  <si>
    <t>PM25LQ512B-SCE-TR</t>
  </si>
  <si>
    <t>0500-0283000</t>
  </si>
  <si>
    <t>C7TDG</t>
  </si>
  <si>
    <t>MINOTAUR MLK - SOHO T140</t>
  </si>
  <si>
    <t>MINOTAUR_MLK</t>
  </si>
  <si>
    <t>ADESTO</t>
  </si>
  <si>
    <t>0A321BEB</t>
  </si>
  <si>
    <t>0A325BAB</t>
  </si>
  <si>
    <t>AT45DB081E-SHNHC-T</t>
  </si>
  <si>
    <t>4X5W7-A00</t>
  </si>
  <si>
    <t>SV8XTKT$AA</t>
  </si>
  <si>
    <t>A00 (20.8.4)</t>
  </si>
  <si>
    <t>37470D74</t>
  </si>
  <si>
    <t>37490B74</t>
  </si>
  <si>
    <t>MX25L3233FM2I-08G</t>
  </si>
  <si>
    <t>4JCPK-A06</t>
  </si>
  <si>
    <t>SVGR0W0$CA</t>
  </si>
  <si>
    <t>A06 (4.10.10.10)</t>
  </si>
  <si>
    <t>374A0A74</t>
  </si>
  <si>
    <t>W25Q32JVSSIM</t>
  </si>
  <si>
    <t>SVGR0W0$BC</t>
  </si>
  <si>
    <t>EC7160BC</t>
  </si>
  <si>
    <t>9A15A4FD</t>
  </si>
  <si>
    <t>HT9C7-A05</t>
  </si>
  <si>
    <t>SVJ2HJX$BA</t>
  </si>
  <si>
    <t>A05(2.2.3)</t>
  </si>
  <si>
    <t>9A16A3FD</t>
  </si>
  <si>
    <t>SVJ2HJX$AB</t>
  </si>
  <si>
    <t>SV072.25256.0H01</t>
  </si>
  <si>
    <t>INFINEON</t>
  </si>
  <si>
    <t>00010028</t>
  </si>
  <si>
    <t>PXE1610CDN-G013</t>
  </si>
  <si>
    <t>WKRYT-A00</t>
  </si>
  <si>
    <t>SVKYG1F$AB</t>
  </si>
  <si>
    <t>002E57F6</t>
  </si>
  <si>
    <t>LCMXO3LF-4300C-5BG400C7U</t>
  </si>
  <si>
    <t>R5KD4-A01</t>
  </si>
  <si>
    <t>SVRX378$AA</t>
  </si>
  <si>
    <t>A01 (1.0.5)</t>
  </si>
  <si>
    <t>6PJH5</t>
  </si>
  <si>
    <t xml:space="preserve">MINOTAUR MLK - WIND T340 </t>
  </si>
  <si>
    <t>1GCCP</t>
  </si>
  <si>
    <t>MINOTAUR MLK - STARDUST R240</t>
  </si>
  <si>
    <t>XW25M</t>
  </si>
  <si>
    <t>Punisher WHL i3 UMA</t>
  </si>
  <si>
    <t>PUNISHER_WHL</t>
  </si>
  <si>
    <t>001375B7</t>
  </si>
  <si>
    <t>SCALAR-U3900-WHL</t>
  </si>
  <si>
    <t>DT4N6</t>
  </si>
  <si>
    <t>5N78V</t>
  </si>
  <si>
    <t>Punisher WHL i5 UMA</t>
  </si>
  <si>
    <t>2D4X8</t>
  </si>
  <si>
    <t>J7M61</t>
  </si>
  <si>
    <t>TURTLE BAY CFL-R</t>
  </si>
  <si>
    <t>TURTLE_BAY_CFL_R</t>
  </si>
  <si>
    <t>D1451CE0</t>
  </si>
  <si>
    <t>98055ED3</t>
  </si>
  <si>
    <t>98075CD3</t>
  </si>
  <si>
    <t>P8GN1-F3U1-A01</t>
  </si>
  <si>
    <t>A01 (2.2.0)</t>
  </si>
  <si>
    <t>Workstation</t>
  </si>
  <si>
    <t>P94PK</t>
  </si>
  <si>
    <t>COLOSSUS CML I7 DSC</t>
  </si>
  <si>
    <t>COLOSSUS_CML</t>
  </si>
  <si>
    <t>05AF5BE2</t>
  </si>
  <si>
    <t>MX25L4006EM2I-12G</t>
  </si>
  <si>
    <t>SCALAR_NW-U101-A00</t>
  </si>
  <si>
    <t>0500-00WX000</t>
  </si>
  <si>
    <t>V11</t>
  </si>
  <si>
    <t>0500-01DW000</t>
  </si>
  <si>
    <t>GIANTEC</t>
  </si>
  <si>
    <t>00FE4300</t>
  </si>
  <si>
    <t>00004200</t>
  </si>
  <si>
    <t>GT24C02A-2GLI-TR</t>
  </si>
  <si>
    <t>INT_EDID-U103-A00</t>
  </si>
  <si>
    <t>0502-00MW000</t>
  </si>
  <si>
    <t>ST</t>
  </si>
  <si>
    <t>M24C02-RMN6TP</t>
  </si>
  <si>
    <t>0502-002T000</t>
  </si>
  <si>
    <t>00FE4200</t>
  </si>
  <si>
    <t>00004100</t>
  </si>
  <si>
    <t>EXT_EDID-U104-A00</t>
  </si>
  <si>
    <t>V1</t>
  </si>
  <si>
    <t>00007B7C</t>
  </si>
  <si>
    <t>M24C08-RMN6TP</t>
  </si>
  <si>
    <t>HDCP-U102-A00</t>
  </si>
  <si>
    <t>0502-00C9000</t>
  </si>
  <si>
    <t>6RR9J</t>
  </si>
  <si>
    <t>COLOSSUS CML I5 DSC</t>
  </si>
  <si>
    <t>8VJXR</t>
  </si>
  <si>
    <t>COLOSSUS CML I5 UMA</t>
  </si>
  <si>
    <t>Product_PN</t>
  </si>
  <si>
    <t>Product_Description</t>
  </si>
  <si>
    <t>Product_Family</t>
  </si>
  <si>
    <t>Vendor</t>
  </si>
  <si>
    <t>PS388_Checksum</t>
  </si>
  <si>
    <t>PSV5000_Checksum</t>
  </si>
  <si>
    <t>Flash100_Checksum</t>
  </si>
  <si>
    <t>IC_PN</t>
  </si>
  <si>
    <t>Written_PN</t>
  </si>
  <si>
    <t>Blank_PN</t>
  </si>
  <si>
    <t>Revision</t>
  </si>
  <si>
    <t>Validation_Date</t>
  </si>
  <si>
    <t>Platform_Type</t>
  </si>
  <si>
    <t>Platform_Status</t>
  </si>
  <si>
    <t>Concat_Checksum</t>
  </si>
  <si>
    <t>Written_PN_Check</t>
  </si>
  <si>
    <t>Model_MB</t>
  </si>
  <si>
    <t>REV_COMP</t>
  </si>
  <si>
    <t>text_Checksum</t>
  </si>
  <si>
    <t>Control</t>
  </si>
  <si>
    <t>#1</t>
  </si>
  <si>
    <t>#8</t>
  </si>
  <si>
    <t>#2</t>
  </si>
  <si>
    <t>#3</t>
  </si>
  <si>
    <t>#4</t>
  </si>
  <si>
    <t>#5</t>
  </si>
  <si>
    <t>#6</t>
  </si>
  <si>
    <t>#7</t>
  </si>
  <si>
    <t>#9</t>
  </si>
  <si>
    <t>#10</t>
  </si>
  <si>
    <t>#11</t>
  </si>
  <si>
    <t>#12</t>
  </si>
  <si>
    <t>#13</t>
  </si>
  <si>
    <t>#14</t>
  </si>
  <si>
    <t>#15</t>
  </si>
  <si>
    <t>#16</t>
  </si>
  <si>
    <t>#17</t>
  </si>
  <si>
    <t>#18</t>
  </si>
  <si>
    <t>#19</t>
  </si>
  <si>
    <t>#20</t>
  </si>
  <si>
    <t>#21</t>
  </si>
  <si>
    <t>#22</t>
  </si>
  <si>
    <t>#23</t>
  </si>
  <si>
    <t>#24</t>
  </si>
  <si>
    <t>#25</t>
  </si>
  <si>
    <t>#26</t>
  </si>
  <si>
    <t>#27</t>
  </si>
  <si>
    <t>#28</t>
  </si>
  <si>
    <t>#29</t>
  </si>
  <si>
    <t>#30</t>
  </si>
  <si>
    <t>#31</t>
  </si>
  <si>
    <t>#32</t>
  </si>
  <si>
    <t>#33</t>
  </si>
  <si>
    <t>#34</t>
  </si>
  <si>
    <t>#35</t>
  </si>
  <si>
    <t>#36</t>
  </si>
  <si>
    <t>#37</t>
  </si>
  <si>
    <t>#38</t>
  </si>
  <si>
    <t>#39</t>
  </si>
  <si>
    <t>#40</t>
  </si>
  <si>
    <t>#41</t>
  </si>
  <si>
    <t>#42</t>
  </si>
  <si>
    <t>#43</t>
  </si>
  <si>
    <t>#44</t>
  </si>
  <si>
    <t>#45</t>
  </si>
  <si>
    <t>#46</t>
  </si>
  <si>
    <t>#47</t>
  </si>
  <si>
    <t>#48</t>
  </si>
  <si>
    <t>#49</t>
  </si>
  <si>
    <t>#50</t>
  </si>
  <si>
    <t>#51</t>
  </si>
  <si>
    <t>#52</t>
  </si>
  <si>
    <t>#53</t>
  </si>
  <si>
    <t>#54</t>
  </si>
  <si>
    <t>#55</t>
  </si>
  <si>
    <t>#56</t>
  </si>
  <si>
    <t>#57</t>
  </si>
  <si>
    <t>#58</t>
  </si>
  <si>
    <t>#59</t>
  </si>
  <si>
    <t>#60</t>
  </si>
  <si>
    <t>#61</t>
  </si>
  <si>
    <t>#62</t>
  </si>
  <si>
    <t>#63</t>
  </si>
  <si>
    <t>#64</t>
  </si>
  <si>
    <t>#65</t>
  </si>
  <si>
    <t>#66</t>
  </si>
  <si>
    <t>#67</t>
  </si>
  <si>
    <t>#68</t>
  </si>
  <si>
    <t>#69</t>
  </si>
  <si>
    <t>#70</t>
  </si>
  <si>
    <t>#71</t>
  </si>
  <si>
    <t>#72</t>
  </si>
  <si>
    <t>#73</t>
  </si>
  <si>
    <t>#74</t>
  </si>
  <si>
    <t>#75</t>
  </si>
  <si>
    <t>#76</t>
  </si>
  <si>
    <t>#77</t>
  </si>
  <si>
    <t>#78</t>
  </si>
  <si>
    <t>#79</t>
  </si>
  <si>
    <t>#80</t>
  </si>
  <si>
    <t>#81</t>
  </si>
  <si>
    <t>#82</t>
  </si>
  <si>
    <t>#83</t>
  </si>
  <si>
    <t>#84</t>
  </si>
  <si>
    <t>#85</t>
  </si>
  <si>
    <t>#86</t>
  </si>
  <si>
    <t>#87</t>
  </si>
  <si>
    <t>#88</t>
  </si>
  <si>
    <t>#89</t>
  </si>
  <si>
    <t>#90</t>
  </si>
  <si>
    <t>#91</t>
  </si>
  <si>
    <t>#92</t>
  </si>
  <si>
    <t>#93</t>
  </si>
  <si>
    <t>#94</t>
  </si>
  <si>
    <t>#95</t>
  </si>
  <si>
    <t>#96</t>
  </si>
  <si>
    <t>#97</t>
  </si>
  <si>
    <t>#98</t>
  </si>
  <si>
    <t>#99</t>
  </si>
  <si>
    <t>#100</t>
  </si>
  <si>
    <t>#101</t>
  </si>
  <si>
    <t>#102</t>
  </si>
  <si>
    <t>#103</t>
  </si>
  <si>
    <t>#104</t>
  </si>
  <si>
    <t>#105</t>
  </si>
  <si>
    <t>#106</t>
  </si>
  <si>
    <t>#107</t>
  </si>
  <si>
    <t>#108</t>
  </si>
  <si>
    <t>#109</t>
  </si>
  <si>
    <t>#110</t>
  </si>
  <si>
    <t>#111</t>
  </si>
  <si>
    <t>#112</t>
  </si>
  <si>
    <t>#113</t>
  </si>
  <si>
    <t>#114</t>
  </si>
  <si>
    <t>#115</t>
  </si>
  <si>
    <t>#116</t>
  </si>
  <si>
    <t>#117</t>
  </si>
  <si>
    <t>#118</t>
  </si>
  <si>
    <t>#119</t>
  </si>
  <si>
    <t>#120</t>
  </si>
  <si>
    <t>#121</t>
  </si>
  <si>
    <t>#122</t>
  </si>
  <si>
    <t>#123</t>
  </si>
  <si>
    <t>#124</t>
  </si>
  <si>
    <t>#125</t>
  </si>
  <si>
    <t>#126</t>
  </si>
  <si>
    <t>#127</t>
  </si>
  <si>
    <t>#128</t>
  </si>
  <si>
    <t>#129</t>
  </si>
  <si>
    <t>#130</t>
  </si>
  <si>
    <t>#131</t>
  </si>
  <si>
    <t>#132</t>
  </si>
  <si>
    <t>#133</t>
  </si>
  <si>
    <t>#134</t>
  </si>
  <si>
    <t>#135</t>
  </si>
  <si>
    <t>#136</t>
  </si>
  <si>
    <t>#137</t>
  </si>
  <si>
    <t>#138</t>
  </si>
  <si>
    <t>#139</t>
  </si>
  <si>
    <t>#140</t>
  </si>
  <si>
    <t>#141</t>
  </si>
  <si>
    <t>#142</t>
  </si>
  <si>
    <t>#143</t>
  </si>
  <si>
    <t>#144</t>
  </si>
  <si>
    <t>#145</t>
  </si>
  <si>
    <t>#146</t>
  </si>
  <si>
    <t>#147</t>
  </si>
  <si>
    <t>#148</t>
  </si>
  <si>
    <t>#149</t>
  </si>
  <si>
    <t>#150</t>
  </si>
  <si>
    <t>#151</t>
  </si>
  <si>
    <t>#152</t>
  </si>
  <si>
    <t>#153</t>
  </si>
  <si>
    <t>#154</t>
  </si>
  <si>
    <t>#155</t>
  </si>
  <si>
    <t>#156</t>
  </si>
  <si>
    <t>#157</t>
  </si>
  <si>
    <t>#158</t>
  </si>
  <si>
    <t>#159</t>
  </si>
  <si>
    <t>#160</t>
  </si>
  <si>
    <t>#161</t>
  </si>
  <si>
    <t>#162</t>
  </si>
  <si>
    <t>#163</t>
  </si>
  <si>
    <t>#164</t>
  </si>
  <si>
    <t>#165</t>
  </si>
  <si>
    <t>#166</t>
  </si>
  <si>
    <t>#167</t>
  </si>
  <si>
    <t>#168</t>
  </si>
  <si>
    <t>#169</t>
  </si>
  <si>
    <t>#170</t>
  </si>
  <si>
    <t>#171</t>
  </si>
  <si>
    <t>#172</t>
  </si>
  <si>
    <t>#173</t>
  </si>
  <si>
    <t>#174</t>
  </si>
  <si>
    <t>#175</t>
  </si>
  <si>
    <t>#176</t>
  </si>
  <si>
    <t>#177</t>
  </si>
  <si>
    <t>#178</t>
  </si>
  <si>
    <t>#179</t>
  </si>
  <si>
    <t>#180</t>
  </si>
  <si>
    <t>#181</t>
  </si>
  <si>
    <t>#182</t>
  </si>
  <si>
    <t>#183</t>
  </si>
  <si>
    <t>#184</t>
  </si>
  <si>
    <t>#185</t>
  </si>
  <si>
    <t>#186</t>
  </si>
  <si>
    <t>#187</t>
  </si>
  <si>
    <t>#188</t>
  </si>
  <si>
    <t>#189</t>
  </si>
  <si>
    <t>#190</t>
  </si>
  <si>
    <t>#191</t>
  </si>
  <si>
    <t>#192</t>
  </si>
  <si>
    <t>#193</t>
  </si>
  <si>
    <t>#194</t>
  </si>
  <si>
    <t>#195</t>
  </si>
  <si>
    <t>#196</t>
  </si>
  <si>
    <t>#197</t>
  </si>
  <si>
    <t>#198</t>
  </si>
  <si>
    <t>#199</t>
  </si>
  <si>
    <t>#200</t>
  </si>
  <si>
    <t>#201</t>
  </si>
  <si>
    <t>#202</t>
  </si>
  <si>
    <t>#203</t>
  </si>
  <si>
    <t>#204</t>
  </si>
  <si>
    <t>#205</t>
  </si>
  <si>
    <t>#206</t>
  </si>
  <si>
    <t>#207</t>
  </si>
  <si>
    <t>#208</t>
  </si>
  <si>
    <t>#209</t>
  </si>
  <si>
    <t>#210</t>
  </si>
  <si>
    <t>#211</t>
  </si>
  <si>
    <t>#212</t>
  </si>
  <si>
    <t>#213</t>
  </si>
  <si>
    <t>#214</t>
  </si>
  <si>
    <t>#215</t>
  </si>
  <si>
    <t>#216</t>
  </si>
  <si>
    <t>#217</t>
  </si>
  <si>
    <t>#218</t>
  </si>
  <si>
    <t>#219</t>
  </si>
  <si>
    <t>#220</t>
  </si>
  <si>
    <t>#221</t>
  </si>
  <si>
    <t>#222</t>
  </si>
  <si>
    <t>#223</t>
  </si>
  <si>
    <t>#224</t>
  </si>
  <si>
    <t>#225</t>
  </si>
  <si>
    <t>#226</t>
  </si>
  <si>
    <t>#227</t>
  </si>
  <si>
    <t>#228</t>
  </si>
  <si>
    <t>#229</t>
  </si>
  <si>
    <t>#230</t>
  </si>
  <si>
    <t>#231</t>
  </si>
  <si>
    <t>#232</t>
  </si>
  <si>
    <t>#233</t>
  </si>
  <si>
    <t>#234</t>
  </si>
  <si>
    <t>#235</t>
  </si>
  <si>
    <t>#236</t>
  </si>
  <si>
    <t>#237</t>
  </si>
  <si>
    <t>#238</t>
  </si>
  <si>
    <t>#239</t>
  </si>
  <si>
    <t>#240</t>
  </si>
  <si>
    <t>#241</t>
  </si>
  <si>
    <t>#242</t>
  </si>
  <si>
    <t>#243</t>
  </si>
  <si>
    <t>#244</t>
  </si>
  <si>
    <t>#245</t>
  </si>
  <si>
    <t>#246</t>
  </si>
  <si>
    <t>#247</t>
  </si>
  <si>
    <t>#248</t>
  </si>
  <si>
    <t>#249</t>
  </si>
  <si>
    <t>#250</t>
  </si>
  <si>
    <t>#251</t>
  </si>
  <si>
    <t>#252</t>
  </si>
  <si>
    <t>#253</t>
  </si>
  <si>
    <t>#254</t>
  </si>
  <si>
    <t>#255</t>
  </si>
  <si>
    <t>#256</t>
  </si>
  <si>
    <t>#257</t>
  </si>
  <si>
    <t>#258</t>
  </si>
  <si>
    <t>#259</t>
  </si>
  <si>
    <t>#260</t>
  </si>
  <si>
    <t>#261</t>
  </si>
  <si>
    <t>#262</t>
  </si>
  <si>
    <t>#263</t>
  </si>
  <si>
    <t>#264</t>
  </si>
  <si>
    <t>#265</t>
  </si>
  <si>
    <t>#266</t>
  </si>
  <si>
    <t>#267</t>
  </si>
  <si>
    <t>#268</t>
  </si>
  <si>
    <t>#269</t>
  </si>
  <si>
    <t>#270</t>
  </si>
  <si>
    <t>#271</t>
  </si>
  <si>
    <t>#272</t>
  </si>
  <si>
    <t>#273</t>
  </si>
  <si>
    <t>#274</t>
  </si>
  <si>
    <t>#275</t>
  </si>
  <si>
    <t>#276</t>
  </si>
  <si>
    <t>#277</t>
  </si>
  <si>
    <t>#278</t>
  </si>
  <si>
    <t>#279</t>
  </si>
  <si>
    <t>#280</t>
  </si>
  <si>
    <t>#281</t>
  </si>
  <si>
    <t>#282</t>
  </si>
  <si>
    <t>#283</t>
  </si>
  <si>
    <t>#284</t>
  </si>
  <si>
    <t>#285</t>
  </si>
  <si>
    <t>#286</t>
  </si>
  <si>
    <t>#287</t>
  </si>
  <si>
    <t>#288</t>
  </si>
  <si>
    <t>#289</t>
  </si>
  <si>
    <t>#290</t>
  </si>
  <si>
    <t>#291</t>
  </si>
  <si>
    <t>#292</t>
  </si>
  <si>
    <t>#293</t>
  </si>
  <si>
    <t>#294</t>
  </si>
  <si>
    <t>#295</t>
  </si>
  <si>
    <t>#296</t>
  </si>
  <si>
    <t>#297</t>
  </si>
  <si>
    <t>#298</t>
  </si>
  <si>
    <t>#299</t>
  </si>
  <si>
    <t>#300</t>
  </si>
  <si>
    <t>KPGWY-SPI2-A01</t>
  </si>
  <si>
    <t>3RP6T-F3U1-A17</t>
  </si>
  <si>
    <t>A17(1.1.13)</t>
  </si>
  <si>
    <t>A01(1.1.3)</t>
  </si>
  <si>
    <t>CF53800D</t>
  </si>
  <si>
    <t>A06(1.7.1)</t>
  </si>
  <si>
    <t>9W0F0-E55-A06</t>
  </si>
  <si>
    <t>C417FC7A</t>
  </si>
  <si>
    <t>C40C087A</t>
  </si>
  <si>
    <t>C40F057A</t>
  </si>
  <si>
    <t>CF567D0D</t>
  </si>
  <si>
    <t>CF557E0D</t>
  </si>
  <si>
    <t>PV48C-U19-A05</t>
  </si>
  <si>
    <t>B41EA756</t>
  </si>
  <si>
    <t>B421A456</t>
  </si>
  <si>
    <t>PS388-B69ACEDE/PSV5000-/FLASH100-B69ECADE</t>
  </si>
  <si>
    <t>PS388-B69ACEDE/PSV5000-/FLASH100-B69DCBDE</t>
  </si>
  <si>
    <t>PS388-0043C036/PSV5000-/FLASH100-0043C036</t>
  </si>
  <si>
    <t>PS388-0242FB3F/PSV5000-/FLASH100-0242FB3F</t>
  </si>
  <si>
    <t>PS388-B5CEC1BB/PSV5000-/FLASH100-B5D2BDBB</t>
  </si>
  <si>
    <t>PS388-B5CEC1BB/PSV5000-/FLASH100-B5D1BEBB</t>
  </si>
  <si>
    <t>PS388-00438076/PSV5000-/FLASH100-0FBDF676</t>
  </si>
  <si>
    <t>PS388-/PSV5000-C438B410/FLASH100-C43BB110</t>
  </si>
  <si>
    <t>PS388-/PSV5000-C438B410/FLASH100-C43AB210</t>
  </si>
  <si>
    <t>PS388-C44196B3/PSV5000-/FLASH100-C44493B3</t>
  </si>
  <si>
    <t>PS388-C44196B3/PSV5000-/FLASH100-C44394B3</t>
  </si>
  <si>
    <t>PS388-/PSV5000-BD75F94F/FLASH100-BD78F64F</t>
  </si>
  <si>
    <t>PS388-/PSV5000-BD75F94F/FLASH100-BD77F74F</t>
  </si>
  <si>
    <t>PS388-/PSV5000-B7FF0C70/FLASH100-B8030870</t>
  </si>
  <si>
    <t>PS388-/PSV5000-B7FF0C70/FLASH100-B8020970</t>
  </si>
  <si>
    <t>PS388-D1C2B4D1/PSV5000-/FLASH100-96C49A60</t>
  </si>
  <si>
    <t>PS388-CC593B10/PSV5000-/FLASH100-CC5B3910</t>
  </si>
  <si>
    <t>PS388-CC593B10/PSV5000-/FLASH100-CC5C3810</t>
  </si>
  <si>
    <t>PS388-Não Disponível/PSV5000-/FLASH100-Não Disponível</t>
  </si>
  <si>
    <t>PS388-8EC416DA/PSV5000-/FLASH100-8ED900DA</t>
  </si>
  <si>
    <t>PS388-8EC416DA/PSV5000-/FLASH100-8EC415DA</t>
  </si>
  <si>
    <t>PS388-8EC416DA/PSV5000-/FLASH100-8EC316DA</t>
  </si>
  <si>
    <t>PS388-B08E6829/PSV5000-/FLASH100-B0906629</t>
  </si>
  <si>
    <t>PS388-B08E6829/PSV5000-/FLASH100-B0A65029</t>
  </si>
  <si>
    <t>PS388-B08E6829/PSV5000-/FLASH100-B0916529</t>
  </si>
  <si>
    <t>PS388-D15C649E/PSV5000-/FLASH100-8E3C3ADE</t>
  </si>
  <si>
    <t>PS388-D15C649E/PSV5000-/FLASH100-8E5224DE</t>
  </si>
  <si>
    <t>PS388-D15C649E/PSV5000-/FLASH100-8E3D39DE</t>
  </si>
  <si>
    <t>PS388-D48F1D58/PSV5000-/FLASH100-964BB0A1</t>
  </si>
  <si>
    <t>PS388-D48F1D58/PSV5000-/FLASH100-96619AA1</t>
  </si>
  <si>
    <t>PS388-D48F1D58/PSV5000-/FLASH100-9649F261</t>
  </si>
  <si>
    <t>PS388-D48F1D58/PSV5000-/FLASH100-964CAFA1</t>
  </si>
  <si>
    <t>PS388-00E232FA/PSV5000-/FLASH100-005500BA</t>
  </si>
  <si>
    <t>PS388-Não Disponível/PSV5000-/FLASH100-9D3B74FB</t>
  </si>
  <si>
    <t>PS388-9D2689FB/PSV5000-/FLASH100-9D2689FB</t>
  </si>
  <si>
    <t>PS388-9D238CFB/PSV5000-/FLASH100-9D258AFB</t>
  </si>
  <si>
    <t>PS388-Não Disponível/PSV5000-/FLASH100-793CB01B</t>
  </si>
  <si>
    <t>PS388-7924C81B/PSV5000-/FLASH100-7927C51B</t>
  </si>
  <si>
    <t>PS388-7927C51B/PSV5000-/FLASH100-7926C61B</t>
  </si>
  <si>
    <t>PS388-Não Disponível/PSV5000-/FLASH100-9C718C10</t>
  </si>
  <si>
    <t>PS388-9C5CA110/PSV5000-/FLASH100-9C5CA110</t>
  </si>
  <si>
    <t>PS388-9C59A410/PSV5000-/FLASH100-9C5BA210</t>
  </si>
  <si>
    <t>PS388-Não Disponível/PSV5000-/FLASH100-000BBBF0</t>
  </si>
  <si>
    <t>PS388-Não Disponível/PSV5000-/FLASH100-E64C0378</t>
  </si>
  <si>
    <t>PS388-Não Disponível/PSV5000-/FLASH100-E63C44C8</t>
  </si>
  <si>
    <t>PS388-B1EF739D/PSV5000-/FLASH100-B1EFB35D</t>
  </si>
  <si>
    <t>PS388-B1EF739D/PSV5000-/FLASH100-B1F1719D</t>
  </si>
  <si>
    <t>PS388-B1EF739D/PSV5000-/FLASH100-B1F2709D</t>
  </si>
  <si>
    <t>PS388-00E171F2/PSV5000-/FLASH100-00E171F2</t>
  </si>
  <si>
    <t>PS388-CA7EF391/PSV5000-/FLASH100-CA81F091</t>
  </si>
  <si>
    <t>PS388-CA7EF391/PSV5000-/FLASH100-CA80F191</t>
  </si>
  <si>
    <t>PS388-001374B7/PSV5000-/FLASH100-001374B7</t>
  </si>
  <si>
    <t>PS388-00F294B7/PSV5000-/FLASH100-001374B7</t>
  </si>
  <si>
    <t>PS388-Não Disponível/PSV5000-/FLASH100-0035F2A5</t>
  </si>
  <si>
    <t>PS388-DF963A4C/PSV5000-/FLASH100-9CF555E2</t>
  </si>
  <si>
    <t>PS388-DF963A4C/PSV5000-/FLASH100-9CF456E2</t>
  </si>
  <si>
    <t>PS388-074EE60A/PSV5000-/FLASH100-074EE60A</t>
  </si>
  <si>
    <t>PS388-074EE60A/PSV5000-/FLASH100-0752E20A</t>
  </si>
  <si>
    <t>PS388-/PSV5000-CF53800D/FLASH100-CF567D0D</t>
  </si>
  <si>
    <t>PS388-/PSV5000-CF53800D/FLASH100-CF557E0D</t>
  </si>
  <si>
    <t>PS388-/PSV5000-00721739/FLASH100-00721739</t>
  </si>
  <si>
    <t>PS388-/PSV5000-00761339/FLASH100-00761339</t>
  </si>
  <si>
    <t>PS388-0A321BEB/PSV5000-/FLASH100-0A325BAB</t>
  </si>
  <si>
    <t>PS388-37470D74/PSV5000-/FLASH100-37490B74</t>
  </si>
  <si>
    <t>PS388-37470D74/PSV5000-/FLASH100-374A0A74</t>
  </si>
  <si>
    <t>PS388-EC7160BC/PSV5000-/FLASH100-9A15A4FD</t>
  </si>
  <si>
    <t>PS388-EC7160BC/PSV5000-/FLASH100-9A16A3FD</t>
  </si>
  <si>
    <t>PS388-Não Disponível/PSV5000-/FLASH100-00010028</t>
  </si>
  <si>
    <t>PS388-Não Disponível/PSV5000-/FLASH100-002E57F6</t>
  </si>
  <si>
    <t>PS388-/PSV5000-C40F057A/FLASH100-C40F057A</t>
  </si>
  <si>
    <t>PS388-/PSV5000-C417FC7A/FLASH100-C417FC7A</t>
  </si>
  <si>
    <t>PS388-/PSV5000-C40C087A/FLASH100-C40C087A</t>
  </si>
  <si>
    <t>PS388-/PSV5000-001375B7/FLASH100-001375B7</t>
  </si>
  <si>
    <t>PS388-D1451CE0/PSV5000-98055ED3/FLASH100-98075CD3</t>
  </si>
  <si>
    <t>PS388-/PSV5000-B41EA756/FLASH100-B421A456</t>
  </si>
  <si>
    <t>PS388-/PSV5000-05AF5BE2/FLASH100-05AF5BE2</t>
  </si>
  <si>
    <t>PS388-/PSV5000-00FE4300/FLASH100-00004200</t>
  </si>
  <si>
    <t>PS388-/PSV5000-00FE4200/FLASH100-00004100</t>
  </si>
  <si>
    <t>PS388-/PSV5000-/FLASH100-00007B7C</t>
  </si>
  <si>
    <t>PS388-/PSV5000-/FLASH100-</t>
  </si>
  <si>
    <t>D8PVF-U21-A02</t>
  </si>
  <si>
    <t>D8PVF-U2502-A02</t>
  </si>
  <si>
    <t>A02(1.0.7)</t>
  </si>
  <si>
    <t>78A329A7</t>
  </si>
  <si>
    <t>78A12BA7</t>
  </si>
  <si>
    <t>78A428A7</t>
  </si>
  <si>
    <t>PS388-Não Disponível/PSV5000-Não Disponível/FLASH100-Não Disponível</t>
  </si>
  <si>
    <t>PS388-78A428A7/PSV5000-/FLASH100-78A428A7</t>
  </si>
  <si>
    <t>PS388-78A12BA7/PSV5000-/FLASH100-78A329A7</t>
  </si>
  <si>
    <t>XKK32-UC3-A06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</si>
</sst>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0"/>
    <numFmt numFmtId="166" formatCode="0.000000000000"/>
    <numFmt numFmtId="167" formatCode="0.0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0"/>
      <name val="Arial"/>
      <family val="2"/>
    </font>
    <font>
      <b/>
      <sz val="12"/>
      <color theme="1"/>
      <name val="Calibri"/>
      <family val="2"/>
      <scheme val="minor"/>
    </font>
    <font>
      <sz val="10"/>
      <color indexed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A5A5A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8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164" fontId="5" fillId="0" borderId="0" applyFont="0" applyFill="0" applyBorder="0" applyAlignment="0" applyProtection="0"/>
    <xf numFmtId="0" fontId="6" fillId="3" borderId="6" applyNumberFormat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76">
    <xf numFmtId="0" fontId="0" fillId="0" borderId="0" xfId="0"/>
    <xf numFmtId="0" fontId="0" fillId="0" borderId="0" xfId="0"/>
    <xf numFmtId="0" fontId="0" fillId="0" borderId="0" xfId="0" applyProtection="1">
      <protection locked="0"/>
    </xf>
    <xf numFmtId="0" fontId="0" fillId="2" borderId="0" xfId="0" applyFill="1" applyAlignment="1" applyProtection="1"/>
    <xf numFmtId="0" fontId="0" fillId="0" borderId="0" xfId="0" applyProtection="1"/>
    <xf numFmtId="0" fontId="3" fillId="0" borderId="2" xfId="0" applyFont="1" applyBorder="1"/>
    <xf numFmtId="0" fontId="4" fillId="0" borderId="0" xfId="0" applyFont="1" applyFill="1" applyBorder="1"/>
    <xf numFmtId="49" fontId="4" fillId="0" borderId="0" xfId="0" applyNumberFormat="1" applyFont="1" applyFill="1" applyBorder="1"/>
    <xf numFmtId="0" fontId="8" fillId="8" borderId="9" xfId="0" applyFont="1" applyFill="1" applyBorder="1" applyAlignment="1" applyProtection="1">
      <alignment horizontal="center"/>
    </xf>
    <xf numFmtId="0" fontId="10" fillId="7" borderId="13" xfId="7" applyNumberFormat="1" applyFont="1" applyBorder="1" applyAlignment="1" applyProtection="1">
      <alignment horizontal="center"/>
    </xf>
    <xf numFmtId="0" fontId="10" fillId="7" borderId="5" xfId="7" applyNumberFormat="1" applyFont="1" applyBorder="1" applyAlignment="1" applyProtection="1">
      <alignment horizontal="center"/>
    </xf>
    <xf numFmtId="166" fontId="10" fillId="7" borderId="5" xfId="7" applyNumberFormat="1" applyFont="1" applyBorder="1" applyAlignment="1" applyProtection="1">
      <alignment horizontal="center"/>
    </xf>
    <xf numFmtId="0" fontId="11" fillId="6" borderId="14" xfId="6" applyNumberFormat="1" applyFont="1" applyBorder="1" applyAlignment="1" applyProtection="1">
      <alignment horizontal="center"/>
    </xf>
    <xf numFmtId="0" fontId="10" fillId="7" borderId="15" xfId="7" applyNumberFormat="1" applyFont="1" applyBorder="1" applyAlignment="1" applyProtection="1">
      <alignment horizontal="center"/>
    </xf>
    <xf numFmtId="0" fontId="10" fillId="7" borderId="1" xfId="7" applyNumberFormat="1" applyFont="1" applyBorder="1" applyAlignment="1" applyProtection="1">
      <alignment horizontal="center"/>
    </xf>
    <xf numFmtId="0" fontId="11" fillId="6" borderId="16" xfId="6" applyNumberFormat="1" applyFont="1" applyBorder="1" applyAlignment="1" applyProtection="1">
      <alignment horizontal="center"/>
    </xf>
    <xf numFmtId="166" fontId="10" fillId="7" borderId="15" xfId="7" applyNumberFormat="1" applyFont="1" applyBorder="1" applyAlignment="1" applyProtection="1">
      <alignment horizontal="center"/>
    </xf>
    <xf numFmtId="0" fontId="11" fillId="6" borderId="15" xfId="6" applyNumberFormat="1" applyFont="1" applyBorder="1" applyAlignment="1" applyProtection="1">
      <alignment horizontal="center"/>
    </xf>
    <xf numFmtId="0" fontId="11" fillId="6" borderId="1" xfId="6" applyNumberFormat="1" applyFont="1" applyBorder="1" applyAlignment="1" applyProtection="1">
      <alignment horizontal="center"/>
    </xf>
    <xf numFmtId="0" fontId="11" fillId="6" borderId="17" xfId="6" applyNumberFormat="1" applyFont="1" applyBorder="1" applyAlignment="1" applyProtection="1">
      <alignment horizontal="center"/>
    </xf>
    <xf numFmtId="0" fontId="9" fillId="4" borderId="18" xfId="4" applyNumberFormat="1" applyFont="1" applyBorder="1" applyAlignment="1" applyProtection="1">
      <alignment horizontal="center"/>
    </xf>
    <xf numFmtId="165" fontId="10" fillId="0" borderId="19" xfId="2" applyNumberFormat="1" applyFont="1" applyBorder="1" applyAlignment="1" applyProtection="1">
      <alignment horizontal="center"/>
    </xf>
    <xf numFmtId="165" fontId="10" fillId="0" borderId="20" xfId="2" applyNumberFormat="1" applyFont="1" applyBorder="1" applyAlignment="1" applyProtection="1">
      <alignment horizontal="center"/>
    </xf>
    <xf numFmtId="0" fontId="8" fillId="0" borderId="20" xfId="0" applyFont="1" applyBorder="1" applyAlignment="1" applyProtection="1">
      <alignment horizontal="center"/>
    </xf>
    <xf numFmtId="0" fontId="8" fillId="0" borderId="21" xfId="0" applyFont="1" applyBorder="1" applyAlignment="1" applyProtection="1">
      <alignment horizontal="center"/>
    </xf>
    <xf numFmtId="0" fontId="8" fillId="8" borderId="16" xfId="0" applyFont="1" applyFill="1" applyBorder="1" applyAlignment="1" applyProtection="1">
      <alignment horizontal="center"/>
    </xf>
    <xf numFmtId="0" fontId="9" fillId="5" borderId="1" xfId="5" applyFont="1" applyBorder="1" applyAlignment="1" applyProtection="1">
      <alignment horizontal="center" vertical="center" wrapText="1"/>
    </xf>
    <xf numFmtId="0" fontId="9" fillId="5" borderId="16" xfId="5" applyFont="1" applyBorder="1" applyAlignment="1" applyProtection="1">
      <alignment horizontal="center" vertical="center" wrapText="1"/>
    </xf>
    <xf numFmtId="1" fontId="10" fillId="7" borderId="1" xfId="7" applyNumberFormat="1" applyFont="1" applyBorder="1" applyAlignment="1" applyProtection="1">
      <alignment horizontal="center"/>
    </xf>
    <xf numFmtId="1" fontId="10" fillId="7" borderId="15" xfId="7" applyNumberFormat="1" applyFont="1" applyBorder="1" applyAlignment="1" applyProtection="1">
      <alignment horizontal="center"/>
    </xf>
    <xf numFmtId="0" fontId="11" fillId="6" borderId="23" xfId="6" applyNumberFormat="1" applyFont="1" applyBorder="1" applyAlignment="1" applyProtection="1">
      <alignment horizontal="center"/>
    </xf>
    <xf numFmtId="0" fontId="11" fillId="6" borderId="4" xfId="6" applyNumberFormat="1" applyFont="1" applyBorder="1" applyAlignment="1" applyProtection="1">
      <alignment horizontal="center"/>
    </xf>
    <xf numFmtId="0" fontId="11" fillId="6" borderId="24" xfId="6" applyNumberFormat="1" applyFont="1" applyBorder="1" applyAlignment="1" applyProtection="1">
      <alignment horizontal="center"/>
    </xf>
    <xf numFmtId="0" fontId="11" fillId="5" borderId="12" xfId="5" applyFont="1" applyBorder="1" applyAlignment="1" applyProtection="1">
      <alignment horizontal="center" vertical="center" wrapText="1"/>
      <protection locked="0"/>
    </xf>
    <xf numFmtId="0" fontId="11" fillId="5" borderId="11" xfId="5" applyFont="1" applyBorder="1" applyAlignment="1" applyProtection="1">
      <alignment horizontal="center" vertical="center" wrapText="1"/>
    </xf>
    <xf numFmtId="0" fontId="13" fillId="9" borderId="6" xfId="3" applyFont="1" applyFill="1" applyBorder="1" applyAlignment="1" applyProtection="1">
      <alignment horizontal="center"/>
      <protection locked="0"/>
    </xf>
    <xf numFmtId="0" fontId="13" fillId="9" borderId="8" xfId="3" applyFont="1" applyFill="1" applyBorder="1" applyAlignment="1" applyProtection="1">
      <alignment horizontal="center"/>
      <protection locked="0"/>
    </xf>
    <xf numFmtId="0" fontId="12" fillId="4" borderId="26" xfId="4" applyNumberFormat="1" applyFont="1" applyBorder="1" applyAlignment="1" applyProtection="1">
      <alignment horizontal="center"/>
    </xf>
    <xf numFmtId="0" fontId="15" fillId="0" borderId="18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6" fillId="0" borderId="27" xfId="0" applyFont="1" applyBorder="1" applyAlignment="1">
      <alignment horizontal="center" vertical="center"/>
    </xf>
    <xf numFmtId="49" fontId="16" fillId="0" borderId="27" xfId="0" applyNumberFormat="1" applyFont="1" applyBorder="1" applyAlignment="1">
      <alignment horizontal="center" vertical="center" wrapText="1"/>
    </xf>
    <xf numFmtId="0" fontId="16" fillId="0" borderId="27" xfId="0" applyFont="1" applyBorder="1" applyAlignment="1">
      <alignment horizontal="center" vertical="center" wrapText="1"/>
    </xf>
    <xf numFmtId="0" fontId="14" fillId="0" borderId="27" xfId="1" applyFont="1" applyFill="1" applyBorder="1" applyAlignment="1" applyProtection="1">
      <alignment horizontal="center" vertical="center"/>
    </xf>
    <xf numFmtId="14" fontId="16" fillId="0" borderId="28" xfId="0" applyNumberFormat="1" applyFont="1" applyBorder="1" applyAlignment="1">
      <alignment horizontal="center" vertical="center"/>
    </xf>
    <xf numFmtId="0" fontId="16" fillId="0" borderId="28" xfId="0" applyFont="1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11" fontId="16" fillId="0" borderId="27" xfId="0" applyNumberFormat="1" applyFont="1" applyBorder="1" applyAlignment="1">
      <alignment horizontal="center" vertical="center"/>
    </xf>
    <xf numFmtId="0" fontId="2" fillId="0" borderId="27" xfId="1" applyFill="1" applyBorder="1" applyAlignment="1" applyProtection="1">
      <alignment horizontal="center" vertical="center"/>
    </xf>
    <xf numFmtId="49" fontId="16" fillId="0" borderId="27" xfId="0" applyNumberFormat="1" applyFont="1" applyBorder="1" applyAlignment="1">
      <alignment horizontal="center" vertical="center"/>
    </xf>
    <xf numFmtId="11" fontId="16" fillId="0" borderId="27" xfId="0" quotePrefix="1" applyNumberFormat="1" applyFont="1" applyBorder="1" applyAlignment="1">
      <alignment horizontal="center" vertical="center"/>
    </xf>
    <xf numFmtId="11" fontId="16" fillId="0" borderId="28" xfId="0" applyNumberFormat="1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49" fontId="16" fillId="0" borderId="5" xfId="0" applyNumberFormat="1" applyFont="1" applyBorder="1" applyAlignment="1">
      <alignment horizontal="center" vertical="center"/>
    </xf>
    <xf numFmtId="11" fontId="16" fillId="0" borderId="5" xfId="0" applyNumberFormat="1" applyFont="1" applyBorder="1" applyAlignment="1">
      <alignment horizontal="center" vertical="center"/>
    </xf>
    <xf numFmtId="0" fontId="2" fillId="0" borderId="5" xfId="1" applyFill="1" applyBorder="1" applyAlignment="1" applyProtection="1">
      <alignment horizontal="center" vertical="center"/>
    </xf>
    <xf numFmtId="14" fontId="16" fillId="0" borderId="31" xfId="0" applyNumberFormat="1" applyFont="1" applyBorder="1" applyAlignment="1">
      <alignment horizontal="center" vertical="center"/>
    </xf>
    <xf numFmtId="0" fontId="16" fillId="0" borderId="31" xfId="0" applyFont="1" applyBorder="1" applyAlignment="1">
      <alignment horizontal="center" vertical="center"/>
    </xf>
    <xf numFmtId="0" fontId="0" fillId="0" borderId="0" xfId="0" applyNumberFormat="1" applyBorder="1" applyProtection="1"/>
    <xf numFmtId="0" fontId="0" fillId="2" borderId="0" xfId="0" applyFill="1" applyAlignment="1" applyProtection="1">
      <alignment horizontal="center" wrapText="1"/>
    </xf>
    <xf numFmtId="0" fontId="0" fillId="2" borderId="0" xfId="0" applyFill="1" applyAlignment="1" applyProtection="1">
      <alignment horizontal="center"/>
    </xf>
    <xf numFmtId="0" fontId="12" fillId="4" borderId="2" xfId="4" applyNumberFormat="1" applyFont="1" applyBorder="1" applyAlignment="1" applyProtection="1">
      <alignment horizontal="center"/>
    </xf>
    <xf numFmtId="0" fontId="12" fillId="4" borderId="3" xfId="4" applyNumberFormat="1" applyFont="1" applyBorder="1" applyAlignment="1" applyProtection="1">
      <alignment horizontal="center"/>
    </xf>
    <xf numFmtId="0" fontId="12" fillId="4" borderId="25" xfId="4" applyNumberFormat="1" applyFont="1" applyBorder="1" applyAlignment="1" applyProtection="1">
      <alignment horizontal="center"/>
    </xf>
    <xf numFmtId="165" fontId="13" fillId="9" borderId="8" xfId="3" applyNumberFormat="1" applyFont="1" applyFill="1" applyBorder="1" applyAlignment="1" applyProtection="1">
      <alignment horizontal="center"/>
    </xf>
    <xf numFmtId="165" fontId="13" fillId="9" borderId="7" xfId="3" applyNumberFormat="1" applyFont="1" applyFill="1" applyBorder="1" applyAlignment="1" applyProtection="1">
      <alignment horizontal="center"/>
    </xf>
    <xf numFmtId="0" fontId="12" fillId="4" borderId="21" xfId="4" applyNumberFormat="1" applyFont="1" applyBorder="1" applyAlignment="1" applyProtection="1">
      <alignment horizontal="center"/>
    </xf>
    <xf numFmtId="0" fontId="12" fillId="4" borderId="20" xfId="4" applyNumberFormat="1" applyFont="1" applyBorder="1" applyAlignment="1" applyProtection="1">
      <alignment horizontal="center"/>
    </xf>
    <xf numFmtId="0" fontId="12" fillId="4" borderId="19" xfId="4" applyNumberFormat="1" applyFont="1" applyBorder="1" applyAlignment="1" applyProtection="1">
      <alignment horizontal="center"/>
    </xf>
    <xf numFmtId="0" fontId="9" fillId="5" borderId="1" xfId="5" applyFont="1" applyBorder="1" applyAlignment="1" applyProtection="1">
      <alignment horizontal="center" vertical="center"/>
    </xf>
    <xf numFmtId="0" fontId="9" fillId="5" borderId="15" xfId="5" applyFont="1" applyBorder="1" applyAlignment="1" applyProtection="1">
      <alignment horizontal="center" vertical="center"/>
    </xf>
    <xf numFmtId="167" fontId="13" fillId="9" borderId="6" xfId="3" applyNumberFormat="1" applyFont="1" applyFill="1" applyBorder="1" applyAlignment="1" applyProtection="1">
      <alignment horizontal="center"/>
    </xf>
    <xf numFmtId="167" fontId="13" fillId="9" borderId="22" xfId="3" applyNumberFormat="1" applyFont="1" applyFill="1" applyBorder="1" applyAlignment="1" applyProtection="1">
      <alignment horizontal="center"/>
    </xf>
    <xf numFmtId="0" fontId="11" fillId="5" borderId="11" xfId="5" applyFont="1" applyBorder="1" applyAlignment="1" applyProtection="1">
      <alignment horizontal="center" vertical="center"/>
    </xf>
    <xf numFmtId="0" fontId="11" fillId="5" borderId="10" xfId="5" applyFont="1" applyBorder="1" applyAlignment="1" applyProtection="1">
      <alignment horizontal="center" vertical="center"/>
    </xf>
  </cellXfs>
  <cellStyles count="8">
    <cellStyle name="20% - Accent5" xfId="6" builtinId="46"/>
    <cellStyle name="20% - Accent6" xfId="7" builtinId="50"/>
    <cellStyle name="60% - Accent1" xfId="4" builtinId="32"/>
    <cellStyle name="60% - Accent3" xfId="5" builtinId="40"/>
    <cellStyle name="Check Cell" xfId="3" builtinId="23"/>
    <cellStyle name="Comma" xfId="2" builtinId="3"/>
    <cellStyle name="Hyperlink" xfId="1" builtinId="8"/>
    <cellStyle name="Normal" xfId="0" builtinId="0"/>
  </cellStyles>
  <dxfs count="6">
    <dxf>
      <numFmt numFmtId="0" formatCode="General"/>
      <border>
        <right style="thin">
          <color indexed="64"/>
        </right>
      </border>
    </dxf>
    <dxf>
      <numFmt numFmtId="1" formatCode="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scheme val="min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7</xdr:row>
      <xdr:rowOff>95250</xdr:rowOff>
    </xdr:from>
    <xdr:to>
      <xdr:col>22</xdr:col>
      <xdr:colOff>73884</xdr:colOff>
      <xdr:row>28</xdr:row>
      <xdr:rowOff>142875</xdr:rowOff>
    </xdr:to>
    <xdr:pic macro="[0]!Picture1_Click">
      <xdr:nvPicPr>
        <xdr:cNvPr id="2" name="Picture 1" descr="download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809750" y="1428750"/>
          <a:ext cx="11535634" cy="40481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400051</xdr:colOff>
      <xdr:row>5</xdr:row>
      <xdr:rowOff>66674</xdr:rowOff>
    </xdr:from>
    <xdr:to>
      <xdr:col>6</xdr:col>
      <xdr:colOff>314326</xdr:colOff>
      <xdr:row>15</xdr:row>
      <xdr:rowOff>76199</xdr:rowOff>
    </xdr:to>
    <xdr:pic>
      <xdr:nvPicPr>
        <xdr:cNvPr id="11" name="Picture 10" descr="blank.JPG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0051" y="1019174"/>
          <a:ext cx="3810000" cy="1914525"/>
        </a:xfrm>
        <a:prstGeom prst="rect">
          <a:avLst/>
        </a:prstGeom>
      </xdr:spPr>
    </xdr:pic>
    <xdr:clientData/>
  </xdr:twoCellAnchor>
  <xdr:twoCellAnchor>
    <xdr:from>
      <xdr:col>0</xdr:col>
      <xdr:colOff>76200</xdr:colOff>
      <xdr:row>0</xdr:row>
      <xdr:rowOff>152399</xdr:rowOff>
    </xdr:from>
    <xdr:to>
      <xdr:col>7</xdr:col>
      <xdr:colOff>0</xdr:colOff>
      <xdr:row>4</xdr:row>
      <xdr:rowOff>152400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66700" y="152399"/>
          <a:ext cx="4953000" cy="7620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n-US" sz="3000" b="1"/>
            <a:t>PAINEL</a:t>
          </a:r>
          <a:r>
            <a:rPr lang="en-US" sz="3000" b="1" baseline="0"/>
            <a:t> DE CONTROLE </a:t>
          </a:r>
          <a:endParaRPr lang="en-US" sz="3000" b="1"/>
        </a:p>
      </xdr:txBody>
    </xdr:sp>
    <xdr:clientData/>
  </xdr:twoCellAnchor>
  <xdr:twoCellAnchor>
    <xdr:from>
      <xdr:col>0</xdr:col>
      <xdr:colOff>381000</xdr:colOff>
      <xdr:row>16</xdr:row>
      <xdr:rowOff>161924</xdr:rowOff>
    </xdr:from>
    <xdr:to>
      <xdr:col>6</xdr:col>
      <xdr:colOff>314325</xdr:colOff>
      <xdr:row>19</xdr:row>
      <xdr:rowOff>66675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571500" y="3590924"/>
          <a:ext cx="3829050" cy="4762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200" b="0"/>
            <a:t>DoubleCheck</a:t>
          </a:r>
          <a:r>
            <a:rPr lang="en-US" sz="1200" b="0" baseline="0"/>
            <a:t> BIOS </a:t>
          </a:r>
          <a:r>
            <a:rPr lang="en-US" sz="1200" b="0"/>
            <a:t>V 0.1 (Alfa) - 17/06/2020</a:t>
          </a:r>
        </a:p>
        <a:p>
          <a:pPr algn="ctr"/>
          <a:r>
            <a:rPr lang="en-US" sz="1200" b="0"/>
            <a:t>Responsável: Rafael Lisboa</a:t>
          </a:r>
        </a:p>
      </xdr:txBody>
    </xdr:sp>
    <xdr:clientData/>
  </xdr:twoCellAnchor>
  <xdr:twoCellAnchor editAs="oneCell">
    <xdr:from>
      <xdr:col>5</xdr:col>
      <xdr:colOff>57151</xdr:colOff>
      <xdr:row>5</xdr:row>
      <xdr:rowOff>176213</xdr:rowOff>
    </xdr:from>
    <xdr:to>
      <xdr:col>6</xdr:col>
      <xdr:colOff>381000</xdr:colOff>
      <xdr:row>10</xdr:row>
      <xdr:rowOff>157162</xdr:rowOff>
    </xdr:to>
    <xdr:pic macro="[0]!Picture8_Click">
      <xdr:nvPicPr>
        <xdr:cNvPr id="9" name="Picture 8" descr="application_vnd_oasis_opendocument_database.ico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3343276" y="1128713"/>
          <a:ext cx="933449" cy="933449"/>
        </a:xfrm>
        <a:prstGeom prst="rect">
          <a:avLst/>
        </a:prstGeom>
      </xdr:spPr>
    </xdr:pic>
    <xdr:clientData/>
  </xdr:twoCellAnchor>
  <xdr:twoCellAnchor editAs="oneCell">
    <xdr:from>
      <xdr:col>3</xdr:col>
      <xdr:colOff>276225</xdr:colOff>
      <xdr:row>12</xdr:row>
      <xdr:rowOff>47625</xdr:rowOff>
    </xdr:from>
    <xdr:to>
      <xdr:col>4</xdr:col>
      <xdr:colOff>57150</xdr:colOff>
      <xdr:row>15</xdr:row>
      <xdr:rowOff>9525</xdr:rowOff>
    </xdr:to>
    <xdr:pic macro="[0]!Picture9_Click">
      <xdr:nvPicPr>
        <xdr:cNvPr id="10" name="Picture 9" descr="document_save.ico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2105025" y="2333625"/>
          <a:ext cx="533400" cy="533400"/>
        </a:xfrm>
        <a:prstGeom prst="rect">
          <a:avLst/>
        </a:prstGeom>
      </xdr:spPr>
    </xdr:pic>
    <xdr:clientData/>
  </xdr:twoCellAnchor>
  <xdr:twoCellAnchor editAs="absolute">
    <xdr:from>
      <xdr:col>0</xdr:col>
      <xdr:colOff>600075</xdr:colOff>
      <xdr:row>5</xdr:row>
      <xdr:rowOff>166687</xdr:rowOff>
    </xdr:from>
    <xdr:to>
      <xdr:col>2</xdr:col>
      <xdr:colOff>276225</xdr:colOff>
      <xdr:row>10</xdr:row>
      <xdr:rowOff>109537</xdr:rowOff>
    </xdr:to>
    <xdr:pic macro="[0]!Picture7_Click">
      <xdr:nvPicPr>
        <xdr:cNvPr id="8" name="Picture 7" descr="gtk_find_and_replace.png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600075" y="1119187"/>
          <a:ext cx="895350" cy="895350"/>
        </a:xfrm>
        <a:prstGeom prst="rect">
          <a:avLst/>
        </a:prstGeom>
      </xdr:spPr>
    </xdr:pic>
    <xdr:clientData/>
  </xdr:twoCellAnchor>
  <xdr:twoCellAnchor editAs="oneCell">
    <xdr:from>
      <xdr:col>3</xdr:col>
      <xdr:colOff>90488</xdr:colOff>
      <xdr:row>5</xdr:row>
      <xdr:rowOff>85724</xdr:rowOff>
    </xdr:from>
    <xdr:to>
      <xdr:col>4</xdr:col>
      <xdr:colOff>338138</xdr:colOff>
      <xdr:row>10</xdr:row>
      <xdr:rowOff>133349</xdr:rowOff>
    </xdr:to>
    <xdr:pic macro="[0]!Picture11_Click">
      <xdr:nvPicPr>
        <xdr:cNvPr id="12" name="Picture 11" descr="insert_object.ico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919288" y="1038224"/>
          <a:ext cx="1000125" cy="10001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0</xdr:row>
          <xdr:rowOff>28575</xdr:rowOff>
        </xdr:from>
        <xdr:to>
          <xdr:col>17</xdr:col>
          <xdr:colOff>171450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58B74A28-870F-4DF6-863F-DBE1FF58C4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Salvar e sair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19</xdr:row>
          <xdr:rowOff>123825</xdr:rowOff>
        </xdr:from>
        <xdr:to>
          <xdr:col>1</xdr:col>
          <xdr:colOff>9525</xdr:colOff>
          <xdr:row>23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29EB02C6-61E2-44D0-9CCC-62FF2C9097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Salvar e sair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0000000}" name="Table8" displayName="Table8" ref="A1:E463" totalsRowShown="0" headerRowDxfId="5">
  <autoFilter ref="A1:E463" xr:uid="{00000000-0009-0000-0100-000008000000}"/>
  <tableColumns count="5">
    <tableColumn id="9" xr3:uid="{00000000-0010-0000-0000-000009000000}" name="text_Checksum" dataDxfId="4"/>
    <tableColumn id="10" xr3:uid="{00000000-0010-0000-0000-00000A000000}" name="Written_PN_Check" dataDxfId="3">
      <calculatedColumnFormula>'Banco de Dados'!J2</calculatedColumnFormula>
    </tableColumn>
    <tableColumn id="1" xr3:uid="{00000000-0010-0000-0000-000001000000}" name="Model_MB" dataDxfId="2">
      <calculatedColumnFormula>'Banco de Dados'!D2</calculatedColumnFormula>
    </tableColumn>
    <tableColumn id="2" xr3:uid="{00000000-0010-0000-0000-000002000000}" name="REV_COMP" dataDxfId="1">
      <calculatedColumnFormula>'Banco de Dados'!L2</calculatedColumnFormula>
    </tableColumn>
    <tableColumn id="3" xr3:uid="{00000000-0010-0000-0000-000003000000}" name="Concat_Checksum" dataDxfId="0">
      <calculatedColumnFormula>_xlfn.CONCAT("PS388","-",'Banco de Dados'!F2,"/","PSV5000","-",'Banco de Dados'!G2,"/","FLASH100","-",'Banco de Dados'!H2)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C9"/>
  <sheetViews>
    <sheetView showGridLines="0" showRowColHeaders="0" showZeros="0" view="pageBreakPreview" zoomScale="60" zoomScaleNormal="40" workbookViewId="0">
      <selection sqref="A1:XFD1048576"/>
    </sheetView>
  </sheetViews>
  <sheetFormatPr defaultColWidth="9.140625" defaultRowHeight="15" x14ac:dyDescent="0.25"/>
  <cols>
    <col min="1" max="16384" width="9.140625" style="2"/>
  </cols>
  <sheetData>
    <row r="9" spans="3:3" x14ac:dyDescent="0.25">
      <c r="C9" s="2" t="s">
        <v>0</v>
      </c>
    </row>
  </sheetData>
  <sheetProtection password="C607" sheet="1" objects="1" scenarios="1" selectLockedCells="1" selectUnlockedCells="1"/>
  <pageMargins left="0.7" right="0.7" top="0.75" bottom="0.75" header="0.3" footer="0.3"/>
  <pageSetup scale="37"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pageSetUpPr fitToPage="1"/>
  </sheetPr>
  <dimension ref="A1:AE354"/>
  <sheetViews>
    <sheetView showGridLines="0" showRowColHeaders="0" showZeros="0" view="pageBreakPreview" zoomScaleSheetLayoutView="100" workbookViewId="0">
      <selection activeCell="I19" sqref="I19"/>
    </sheetView>
  </sheetViews>
  <sheetFormatPr defaultColWidth="9.140625" defaultRowHeight="15" x14ac:dyDescent="0.25"/>
  <cols>
    <col min="1" max="1" width="9.140625" style="4" customWidth="1"/>
    <col min="2" max="3" width="9.140625" style="4"/>
    <col min="4" max="4" width="11.28515625" style="4" customWidth="1"/>
    <col min="5" max="5" width="10.5703125" style="4" customWidth="1"/>
    <col min="6" max="7" width="9.140625" style="4"/>
    <col min="8" max="8" width="1.42578125" style="4" customWidth="1"/>
    <col min="9" max="10" width="9.140625" style="4"/>
    <col min="11" max="11" width="11.140625" style="4" customWidth="1"/>
    <col min="12" max="16384" width="9.140625" style="4"/>
  </cols>
  <sheetData>
    <row r="1" spans="1:31" x14ac:dyDescent="0.25">
      <c r="A1" s="61"/>
      <c r="B1" s="61"/>
      <c r="C1" s="61"/>
      <c r="D1" s="61"/>
      <c r="E1" s="61"/>
      <c r="F1" s="61"/>
      <c r="G1" s="61"/>
      <c r="H1" s="61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2" spans="1:31" x14ac:dyDescent="0.25">
      <c r="A2" s="61"/>
      <c r="B2" s="61"/>
      <c r="C2" s="61"/>
      <c r="D2" s="61"/>
      <c r="E2" s="61"/>
      <c r="F2" s="61"/>
      <c r="G2" s="61"/>
      <c r="H2" s="61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1:31" x14ac:dyDescent="0.25">
      <c r="A3" s="61"/>
      <c r="B3" s="61"/>
      <c r="C3" s="61"/>
      <c r="D3" s="61"/>
      <c r="E3" s="61"/>
      <c r="F3" s="61"/>
      <c r="G3" s="61"/>
      <c r="H3" s="61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</row>
    <row r="4" spans="1:31" x14ac:dyDescent="0.25">
      <c r="A4" s="61"/>
      <c r="B4" s="61"/>
      <c r="C4" s="61"/>
      <c r="D4" s="61"/>
      <c r="E4" s="61"/>
      <c r="F4" s="61"/>
      <c r="G4" s="61"/>
      <c r="H4" s="61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</row>
    <row r="5" spans="1:31" x14ac:dyDescent="0.25">
      <c r="A5" s="61"/>
      <c r="B5" s="61"/>
      <c r="C5" s="61"/>
      <c r="D5" s="61"/>
      <c r="E5" s="61"/>
      <c r="F5" s="61"/>
      <c r="G5" s="61"/>
      <c r="H5" s="61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</row>
    <row r="6" spans="1:31" x14ac:dyDescent="0.25">
      <c r="A6" s="61"/>
      <c r="B6" s="61"/>
      <c r="C6" s="61"/>
      <c r="D6" s="61"/>
      <c r="E6" s="61"/>
      <c r="F6" s="61"/>
      <c r="G6" s="61"/>
      <c r="H6" s="61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1:31" x14ac:dyDescent="0.25">
      <c r="A7" s="61"/>
      <c r="B7" s="61"/>
      <c r="C7" s="61"/>
      <c r="D7" s="61"/>
      <c r="E7" s="61"/>
      <c r="F7" s="61"/>
      <c r="G7" s="61"/>
      <c r="H7" s="61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</row>
    <row r="8" spans="1:31" x14ac:dyDescent="0.25">
      <c r="A8" s="61"/>
      <c r="B8" s="61"/>
      <c r="C8" s="61"/>
      <c r="D8" s="61"/>
      <c r="E8" s="61"/>
      <c r="F8" s="61"/>
      <c r="G8" s="61"/>
      <c r="H8" s="61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</row>
    <row r="9" spans="1:31" x14ac:dyDescent="0.25">
      <c r="A9" s="61"/>
      <c r="B9" s="61"/>
      <c r="C9" s="61"/>
      <c r="D9" s="61"/>
      <c r="E9" s="61"/>
      <c r="F9" s="61"/>
      <c r="G9" s="61"/>
      <c r="H9" s="61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</row>
    <row r="10" spans="1:31" x14ac:dyDescent="0.25">
      <c r="A10" s="61"/>
      <c r="B10" s="61"/>
      <c r="C10" s="61"/>
      <c r="D10" s="61"/>
      <c r="E10" s="61"/>
      <c r="F10" s="61"/>
      <c r="G10" s="61"/>
      <c r="H10" s="61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</row>
    <row r="11" spans="1:31" x14ac:dyDescent="0.25">
      <c r="A11" s="61"/>
      <c r="B11" s="61"/>
      <c r="C11" s="61"/>
      <c r="D11" s="61"/>
      <c r="E11" s="61"/>
      <c r="F11" s="61"/>
      <c r="G11" s="61"/>
      <c r="H11" s="61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</row>
    <row r="12" spans="1:31" x14ac:dyDescent="0.25">
      <c r="A12" s="61"/>
      <c r="B12" s="61"/>
      <c r="C12" s="61"/>
      <c r="D12" s="61"/>
      <c r="E12" s="61"/>
      <c r="F12" s="61"/>
      <c r="G12" s="61"/>
      <c r="H12" s="61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1:31" x14ac:dyDescent="0.25">
      <c r="A13" s="61"/>
      <c r="B13" s="61"/>
      <c r="C13" s="61"/>
      <c r="D13" s="61"/>
      <c r="E13" s="61"/>
      <c r="F13" s="61"/>
      <c r="G13" s="61"/>
      <c r="H13" s="61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</row>
    <row r="14" spans="1:31" ht="15" customHeight="1" x14ac:dyDescent="0.25">
      <c r="A14" s="61"/>
      <c r="B14" s="61"/>
      <c r="C14" s="61"/>
      <c r="D14" s="61"/>
      <c r="E14" s="61"/>
      <c r="F14" s="61"/>
      <c r="G14" s="61"/>
      <c r="H14" s="61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</row>
    <row r="15" spans="1:31" x14ac:dyDescent="0.25">
      <c r="A15" s="61"/>
      <c r="B15" s="61"/>
      <c r="C15" s="61"/>
      <c r="D15" s="61"/>
      <c r="E15" s="61"/>
      <c r="F15" s="61"/>
      <c r="G15" s="61"/>
      <c r="H15" s="61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</row>
    <row r="16" spans="1:31" x14ac:dyDescent="0.25">
      <c r="A16" s="61"/>
      <c r="B16" s="61"/>
      <c r="C16" s="61"/>
      <c r="D16" s="61"/>
      <c r="E16" s="61"/>
      <c r="F16" s="61"/>
      <c r="G16" s="61"/>
      <c r="H16" s="61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</row>
    <row r="17" spans="1:31" x14ac:dyDescent="0.25">
      <c r="A17" s="61"/>
      <c r="B17" s="61"/>
      <c r="C17" s="61"/>
      <c r="D17" s="61"/>
      <c r="E17" s="61"/>
      <c r="F17" s="61"/>
      <c r="G17" s="61"/>
      <c r="H17" s="61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</row>
    <row r="18" spans="1:31" x14ac:dyDescent="0.25">
      <c r="A18" s="61"/>
      <c r="B18" s="61"/>
      <c r="C18" s="61"/>
      <c r="D18" s="61"/>
      <c r="E18" s="61"/>
      <c r="F18" s="61"/>
      <c r="G18" s="61"/>
      <c r="H18" s="61"/>
      <c r="I18" s="3"/>
      <c r="J18" s="60"/>
      <c r="K18" s="60"/>
      <c r="L18" s="60"/>
      <c r="M18" s="60"/>
      <c r="N18" s="60"/>
      <c r="O18" s="60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</row>
    <row r="19" spans="1:31" x14ac:dyDescent="0.25">
      <c r="A19" s="61"/>
      <c r="B19" s="61"/>
      <c r="C19" s="61"/>
      <c r="D19" s="61"/>
      <c r="E19" s="61"/>
      <c r="F19" s="61"/>
      <c r="G19" s="61"/>
      <c r="H19" s="61"/>
      <c r="I19" s="3"/>
      <c r="J19" s="60"/>
      <c r="K19" s="60"/>
      <c r="L19" s="60"/>
      <c r="M19" s="60"/>
      <c r="N19" s="60"/>
      <c r="O19" s="60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</row>
    <row r="20" spans="1:31" x14ac:dyDescent="0.25">
      <c r="A20" s="61"/>
      <c r="B20" s="61"/>
      <c r="C20" s="61"/>
      <c r="D20" s="61"/>
      <c r="E20" s="61"/>
      <c r="F20" s="61"/>
      <c r="G20" s="61"/>
      <c r="H20" s="61"/>
      <c r="I20" s="3"/>
      <c r="J20" s="60"/>
      <c r="K20" s="60"/>
      <c r="L20" s="60"/>
      <c r="M20" s="60"/>
      <c r="N20" s="60"/>
      <c r="O20" s="60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</row>
    <row r="21" spans="1:3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</row>
    <row r="22" spans="1:31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</row>
    <row r="23" spans="1:31" x14ac:dyDescent="0.25">
      <c r="A23" s="3"/>
      <c r="B23" s="3"/>
      <c r="C23" s="3"/>
      <c r="D23" s="3"/>
      <c r="E23" s="3"/>
      <c r="F23" s="3"/>
      <c r="G23" s="3"/>
      <c r="H23" s="3"/>
      <c r="I23" s="3" t="s">
        <v>0</v>
      </c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</row>
    <row r="24" spans="1:3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</row>
    <row r="25" spans="1:31" ht="15" customHeight="1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</row>
    <row r="26" spans="1:31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</row>
    <row r="27" spans="1:3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</row>
    <row r="28" spans="1:31" ht="15" customHeight="1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</row>
    <row r="29" spans="1:31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</row>
    <row r="30" spans="1:3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</row>
    <row r="31" spans="1:3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</row>
    <row r="32" spans="1:3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</row>
    <row r="33" spans="1:31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</row>
    <row r="34" spans="1:31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</row>
    <row r="35" spans="1:31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</row>
    <row r="36" spans="1:3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</row>
    <row r="37" spans="1:31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</row>
    <row r="38" spans="1:3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</row>
    <row r="39" spans="1:3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</row>
    <row r="40" spans="1:3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</row>
    <row r="41" spans="1:31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</row>
    <row r="42" spans="1:31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</row>
    <row r="43" spans="1:31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</row>
    <row r="44" spans="1:31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</row>
    <row r="45" spans="1:31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</row>
    <row r="46" spans="1:31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</row>
    <row r="47" spans="1:31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</row>
    <row r="48" spans="1:31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</row>
    <row r="49" spans="1:31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</row>
    <row r="50" spans="1:31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</row>
    <row r="51" spans="1:31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</row>
    <row r="52" spans="1:31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</row>
    <row r="53" spans="1:31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</row>
    <row r="54" spans="1:31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</row>
    <row r="55" spans="1:31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</row>
    <row r="56" spans="1:31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</row>
    <row r="57" spans="1:31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</row>
    <row r="58" spans="1:3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</row>
    <row r="59" spans="1:31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</row>
    <row r="60" spans="1:31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</row>
    <row r="61" spans="1:31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</row>
    <row r="62" spans="1:31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</row>
    <row r="63" spans="1:3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</row>
    <row r="64" spans="1:31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</row>
    <row r="65" spans="1:31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</row>
    <row r="66" spans="1:3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</row>
    <row r="67" spans="1:31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</row>
    <row r="68" spans="1:31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</row>
    <row r="69" spans="1:31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</row>
    <row r="70" spans="1:31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</row>
    <row r="71" spans="1:31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</row>
    <row r="72" spans="1:31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</row>
    <row r="73" spans="1:31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</row>
    <row r="74" spans="1:31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</row>
    <row r="75" spans="1:3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</row>
    <row r="76" spans="1:31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</row>
    <row r="77" spans="1:31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</row>
    <row r="78" spans="1:31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</row>
    <row r="79" spans="1:31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</row>
    <row r="80" spans="1:31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</row>
    <row r="81" spans="1:31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</row>
    <row r="82" spans="1:31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</row>
    <row r="83" spans="1:31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</row>
    <row r="84" spans="1:31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</row>
    <row r="85" spans="1:31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</row>
    <row r="86" spans="1:31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</row>
    <row r="87" spans="1:31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</row>
    <row r="88" spans="1:3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</row>
    <row r="89" spans="1:31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</row>
    <row r="90" spans="1:31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</row>
    <row r="91" spans="1:3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</row>
    <row r="92" spans="1:31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</row>
    <row r="93" spans="1:31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</row>
    <row r="94" spans="1:31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</row>
    <row r="95" spans="1:31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</row>
    <row r="96" spans="1:31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</row>
    <row r="97" spans="1:31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</row>
    <row r="98" spans="1:3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</row>
    <row r="99" spans="1:31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</row>
    <row r="100" spans="1:31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</row>
    <row r="101" spans="1:31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</row>
    <row r="102" spans="1:31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</row>
    <row r="103" spans="1:31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</row>
    <row r="104" spans="1:31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</row>
    <row r="105" spans="1:3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</row>
    <row r="106" spans="1:31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</row>
    <row r="107" spans="1:31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</row>
    <row r="108" spans="1:31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</row>
    <row r="109" spans="1:31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</row>
    <row r="110" spans="1:31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</row>
    <row r="111" spans="1:31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</row>
    <row r="112" spans="1:31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</row>
    <row r="113" spans="1:31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</row>
    <row r="114" spans="1:31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</row>
    <row r="115" spans="1:31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</row>
    <row r="116" spans="1:31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</row>
    <row r="117" spans="1:31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</row>
    <row r="118" spans="1:31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</row>
    <row r="119" spans="1:31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</row>
    <row r="120" spans="1:31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</row>
    <row r="121" spans="1:31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</row>
    <row r="122" spans="1:31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</row>
    <row r="123" spans="1:31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</row>
    <row r="124" spans="1:31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</row>
    <row r="125" spans="1:31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</row>
    <row r="126" spans="1:31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</row>
    <row r="127" spans="1:31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</row>
    <row r="128" spans="1:31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</row>
    <row r="129" spans="1:31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</row>
    <row r="130" spans="1:31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</row>
    <row r="131" spans="1:31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</row>
    <row r="132" spans="1:31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</row>
    <row r="133" spans="1:31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</row>
    <row r="134" spans="1:31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</row>
    <row r="135" spans="1:31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</row>
    <row r="136" spans="1:3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</row>
    <row r="137" spans="1:31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</row>
    <row r="138" spans="1:31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</row>
    <row r="139" spans="1:31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</row>
    <row r="140" spans="1:31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</row>
    <row r="141" spans="1:31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</row>
    <row r="142" spans="1:31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</row>
    <row r="143" spans="1:31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</row>
    <row r="144" spans="1:31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</row>
    <row r="145" spans="1:31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</row>
    <row r="146" spans="1:31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</row>
    <row r="147" spans="1:31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</row>
    <row r="148" spans="1:31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</row>
    <row r="149" spans="1:31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</row>
    <row r="150" spans="1:31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</row>
    <row r="151" spans="1:31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</row>
    <row r="152" spans="1:31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</row>
    <row r="153" spans="1:31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</row>
    <row r="154" spans="1:31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</row>
    <row r="155" spans="1:31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</row>
    <row r="156" spans="1:31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</row>
    <row r="157" spans="1:31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</row>
    <row r="158" spans="1:31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</row>
    <row r="159" spans="1:31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</row>
    <row r="160" spans="1:31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</row>
    <row r="161" spans="1:31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</row>
    <row r="162" spans="1:31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</row>
    <row r="163" spans="1:31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</row>
    <row r="164" spans="1:31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</row>
    <row r="165" spans="1:31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</row>
    <row r="166" spans="1:31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</row>
    <row r="167" spans="1:31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</row>
    <row r="168" spans="1:31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</row>
    <row r="169" spans="1:31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</row>
    <row r="170" spans="1:31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</row>
    <row r="171" spans="1:31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</row>
    <row r="172" spans="1:31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</row>
    <row r="173" spans="1:31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</row>
    <row r="174" spans="1:31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</row>
    <row r="175" spans="1:31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</row>
    <row r="176" spans="1:31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</row>
    <row r="177" spans="1:31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</row>
    <row r="178" spans="1:31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</row>
    <row r="179" spans="1:31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</row>
    <row r="180" spans="1:31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</row>
    <row r="181" spans="1:31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</row>
    <row r="182" spans="1:31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</row>
    <row r="183" spans="1:31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</row>
    <row r="184" spans="1:3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</row>
    <row r="185" spans="1:31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</row>
    <row r="186" spans="1:31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</row>
    <row r="187" spans="1:31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</row>
    <row r="188" spans="1:31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</row>
    <row r="189" spans="1:31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</row>
    <row r="190" spans="1:31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</row>
    <row r="191" spans="1:31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</row>
    <row r="192" spans="1:31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</row>
    <row r="193" spans="1:31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</row>
    <row r="194" spans="1:31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</row>
    <row r="195" spans="1:31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</row>
    <row r="196" spans="1:31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</row>
    <row r="197" spans="1:31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</row>
    <row r="198" spans="1:31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</row>
    <row r="199" spans="1:31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</row>
    <row r="200" spans="1:31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</row>
    <row r="201" spans="1:31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</row>
    <row r="202" spans="1:31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</row>
    <row r="203" spans="1:31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</row>
    <row r="204" spans="1:31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</row>
    <row r="205" spans="1:31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</row>
    <row r="206" spans="1:31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</row>
    <row r="207" spans="1:31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</row>
    <row r="208" spans="1:31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</row>
    <row r="209" spans="1:31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</row>
    <row r="210" spans="1:31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</row>
    <row r="211" spans="1:31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</row>
    <row r="212" spans="1:31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</row>
    <row r="213" spans="1:31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</row>
    <row r="214" spans="1:31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</row>
    <row r="215" spans="1:31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</row>
    <row r="216" spans="1:31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</row>
    <row r="217" spans="1:31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</row>
    <row r="218" spans="1:31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</row>
    <row r="219" spans="1:31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</row>
    <row r="220" spans="1:31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</row>
    <row r="221" spans="1:31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</row>
    <row r="222" spans="1:31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</row>
    <row r="223" spans="1:31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</row>
    <row r="224" spans="1:31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</row>
    <row r="225" spans="1:31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</row>
    <row r="226" spans="1:31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</row>
    <row r="227" spans="1:31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</row>
    <row r="228" spans="1:31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</row>
    <row r="229" spans="1:31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</row>
    <row r="230" spans="1:31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</row>
    <row r="231" spans="1:31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</row>
    <row r="232" spans="1:3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</row>
    <row r="233" spans="1:31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</row>
    <row r="234" spans="1:31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</row>
    <row r="235" spans="1:31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</row>
    <row r="236" spans="1:31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</row>
    <row r="237" spans="1:31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</row>
    <row r="238" spans="1:31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</row>
    <row r="239" spans="1:31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</row>
    <row r="240" spans="1:31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</row>
    <row r="241" spans="1:31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</row>
    <row r="242" spans="1:31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</row>
    <row r="243" spans="1:31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</row>
    <row r="244" spans="1:31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</row>
    <row r="245" spans="1:31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</row>
    <row r="246" spans="1:31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</row>
    <row r="247" spans="1:31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</row>
    <row r="248" spans="1:31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</row>
    <row r="249" spans="1:31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</row>
    <row r="250" spans="1:31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</row>
    <row r="251" spans="1:31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</row>
    <row r="252" spans="1:31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</row>
    <row r="253" spans="1:31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</row>
    <row r="254" spans="1:31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</row>
    <row r="255" spans="1:31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</row>
    <row r="256" spans="1:31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</row>
    <row r="257" spans="1:31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</row>
    <row r="258" spans="1:31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</row>
    <row r="259" spans="1:31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</row>
    <row r="260" spans="1:31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</row>
    <row r="261" spans="1:31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</row>
    <row r="262" spans="1:31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</row>
    <row r="263" spans="1:31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</row>
    <row r="264" spans="1:31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</row>
    <row r="265" spans="1:31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</row>
    <row r="266" spans="1:31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</row>
    <row r="267" spans="1:31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</row>
    <row r="268" spans="1:31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</row>
    <row r="269" spans="1:31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</row>
    <row r="270" spans="1:31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</row>
    <row r="271" spans="1:31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</row>
    <row r="272" spans="1:31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</row>
    <row r="273" spans="1:31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</row>
    <row r="274" spans="1:31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</row>
    <row r="275" spans="1:31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</row>
    <row r="276" spans="1:31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</row>
    <row r="277" spans="1:31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</row>
    <row r="278" spans="1:31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</row>
    <row r="279" spans="1:31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</row>
    <row r="280" spans="1:3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</row>
    <row r="281" spans="1:31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</row>
    <row r="282" spans="1:31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</row>
    <row r="283" spans="1:31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</row>
    <row r="284" spans="1:31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</row>
    <row r="285" spans="1:31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</row>
    <row r="286" spans="1:31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</row>
    <row r="287" spans="1:31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</row>
    <row r="288" spans="1:31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</row>
    <row r="289" spans="1:31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</row>
    <row r="290" spans="1:31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</row>
    <row r="291" spans="1:31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</row>
    <row r="292" spans="1:31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</row>
    <row r="293" spans="1:31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</row>
    <row r="294" spans="1:31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</row>
    <row r="295" spans="1:31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</row>
    <row r="296" spans="1:31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</row>
    <row r="297" spans="1:31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</row>
    <row r="298" spans="1:31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</row>
    <row r="299" spans="1:31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</row>
    <row r="300" spans="1:31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</row>
    <row r="301" spans="1:31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</row>
    <row r="302" spans="1:31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</row>
    <row r="303" spans="1:31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</row>
    <row r="304" spans="1:31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</row>
    <row r="305" spans="1:31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</row>
    <row r="306" spans="1:31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</row>
    <row r="307" spans="1:31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</row>
    <row r="308" spans="1:31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</row>
    <row r="309" spans="1:31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</row>
    <row r="310" spans="1:31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</row>
    <row r="311" spans="1:31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</row>
    <row r="312" spans="1:31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</row>
    <row r="313" spans="1:31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</row>
    <row r="314" spans="1:31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</row>
    <row r="315" spans="1:31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</row>
    <row r="316" spans="1:31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</row>
    <row r="317" spans="1:31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</row>
    <row r="318" spans="1:31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</row>
    <row r="319" spans="1:31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</row>
    <row r="320" spans="1:31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</row>
    <row r="321" spans="1:31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</row>
    <row r="322" spans="1:31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</row>
    <row r="323" spans="1:31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</row>
    <row r="324" spans="1:31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</row>
    <row r="325" spans="1:31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</row>
    <row r="326" spans="1:31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</row>
    <row r="327" spans="1:31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</row>
    <row r="328" spans="1:31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</row>
    <row r="329" spans="1:31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</row>
    <row r="330" spans="1:31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</row>
    <row r="331" spans="1:31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</row>
    <row r="332" spans="1:31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</row>
    <row r="333" spans="1:31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</row>
    <row r="334" spans="1:31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</row>
    <row r="335" spans="1:31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</row>
    <row r="336" spans="1:31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</row>
    <row r="337" spans="1:31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</row>
    <row r="338" spans="1:31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</row>
    <row r="339" spans="1:31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</row>
    <row r="340" spans="1:31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</row>
    <row r="341" spans="1:31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</row>
    <row r="342" spans="1:31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</row>
    <row r="343" spans="1:31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</row>
    <row r="344" spans="1:31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</row>
    <row r="345" spans="1:31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</row>
    <row r="346" spans="1:31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</row>
    <row r="347" spans="1:31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</row>
    <row r="348" spans="1:31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</row>
    <row r="349" spans="1:31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</row>
    <row r="350" spans="1:31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</row>
    <row r="351" spans="1:31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</row>
    <row r="352" spans="1:31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</row>
    <row r="353" spans="1:31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</row>
    <row r="354" spans="1:31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</row>
  </sheetData>
  <sheetProtection algorithmName="SHA-512" hashValue="epeimEo82vupU0b06J+CRmLwY+1QiNG0eczJLWdL31CrT9OtuKCxYPzwheBX/A2PjN85LBy/mwZnyPPUaXFU+g==" saltValue="ro3KhzQUn3TtUta8tnyntg==" spinCount="100000" sheet="1" objects="1" scenarios="1" formatCells="0" formatColumns="0" formatRows="0" insertColumns="0" insertRows="0" insertHyperlinks="0" deleteColumns="0" deleteRows="0" sort="0" autoFilter="0" pivotTables="0"/>
  <mergeCells count="2">
    <mergeCell ref="J18:O20"/>
    <mergeCell ref="A1:H20"/>
  </mergeCells>
  <pageMargins left="0.7" right="0.7" top="0.75" bottom="0.75" header="0.3" footer="0.3"/>
  <pageSetup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E463"/>
  <sheetViews>
    <sheetView showGridLines="0" showRowColHeaders="0" showZeros="0" tabSelected="1" zoomScale="85" zoomScaleNormal="85" zoomScaleSheetLayoutView="100" workbookViewId="0"/>
  </sheetViews>
  <sheetFormatPr defaultRowHeight="15" x14ac:dyDescent="0.25"/>
  <cols>
    <col min="1" max="3" width="21.5703125" style="1" bestFit="1" customWidth="1"/>
    <col min="4" max="4" width="21.5703125" bestFit="1" customWidth="1"/>
    <col min="5" max="5" width="30.140625" bestFit="1" customWidth="1"/>
    <col min="6" max="6" width="23.42578125" bestFit="1" customWidth="1"/>
    <col min="7" max="7" width="22.7109375" bestFit="1" customWidth="1"/>
    <col min="10" max="10" width="12.28515625" bestFit="1" customWidth="1"/>
  </cols>
  <sheetData>
    <row r="1" spans="1:5" s="1" customFormat="1" ht="15.75" thickBot="1" x14ac:dyDescent="0.3">
      <c r="A1" s="5" t="s">
        <v>483</v>
      </c>
      <c r="B1" s="5" t="s">
        <v>480</v>
      </c>
      <c r="C1" s="5" t="s">
        <v>481</v>
      </c>
      <c r="D1" s="5" t="s">
        <v>482</v>
      </c>
      <c r="E1" s="5" t="s">
        <v>479</v>
      </c>
    </row>
    <row r="2" spans="1:5" s="4" customFormat="1" x14ac:dyDescent="0.25">
      <c r="A2" s="1" t="s">
        <v>800</v>
      </c>
      <c r="B2" s="1" t="str">
        <f>'Banco de Dados'!J2</f>
        <v>D7TT7-BIOS1-A08</v>
      </c>
      <c r="C2" s="1" t="str">
        <f>'Banco de Dados'!D2</f>
        <v>KYLO_REN</v>
      </c>
      <c r="D2" s="1" t="str">
        <f>'Banco de Dados'!L2</f>
        <v>A08 (1.9.0)</v>
      </c>
      <c r="E2" s="59" t="str">
        <f>_xlfn.CONCAT("PS388","-",'Banco de Dados'!F2,"/","PSV5000","-",'Banco de Dados'!G2,"/","FLASH100","-",'Banco de Dados'!H2)</f>
        <v>PS388-B69ACEDE/PSV5000-/FLASH100-B69ECADE</v>
      </c>
    </row>
    <row r="3" spans="1:5" s="4" customFormat="1" x14ac:dyDescent="0.25">
      <c r="A3" s="1" t="s">
        <v>801</v>
      </c>
      <c r="B3" s="1" t="str">
        <f>'Banco de Dados'!J3</f>
        <v>D7TT7-BIOS1-A08</v>
      </c>
      <c r="C3" s="1" t="str">
        <f>'Banco de Dados'!D3</f>
        <v>KYLO_REN</v>
      </c>
      <c r="D3" s="1" t="str">
        <f>'Banco de Dados'!L3</f>
        <v>A08 (1.9.0)</v>
      </c>
      <c r="E3" s="59" t="str">
        <f>_xlfn.CONCAT("PS388","-",'Banco de Dados'!F3,"/","PSV5000","-",'Banco de Dados'!G3,"/","FLASH100","-",'Banco de Dados'!H3)</f>
        <v>PS388-B69ACEDE/PSV5000-/FLASH100-B69DCBDE</v>
      </c>
    </row>
    <row r="4" spans="1:5" s="4" customFormat="1" x14ac:dyDescent="0.25">
      <c r="A4" s="1" t="s">
        <v>801</v>
      </c>
      <c r="B4" s="1" t="str">
        <f>'Banco de Dados'!J4</f>
        <v>D7TT7-BIOS1-A08</v>
      </c>
      <c r="C4" s="1" t="str">
        <f>'Banco de Dados'!D4</f>
        <v>KYLO_REN</v>
      </c>
      <c r="D4" s="1" t="str">
        <f>'Banco de Dados'!L4</f>
        <v>A08 (1.9.0)</v>
      </c>
      <c r="E4" s="59" t="str">
        <f>_xlfn.CONCAT("PS388","-",'Banco de Dados'!F4,"/","PSV5000","-",'Banco de Dados'!G4,"/","FLASH100","-",'Banco de Dados'!H4)</f>
        <v>PS388-B69ACEDE/PSV5000-/FLASH100-B69DCBDE</v>
      </c>
    </row>
    <row r="5" spans="1:5" s="4" customFormat="1" x14ac:dyDescent="0.25">
      <c r="A5" s="1" t="s">
        <v>802</v>
      </c>
      <c r="B5" s="1" t="str">
        <f>'Banco de Dados'!J5</f>
        <v>TYPEC-U7205-KRM</v>
      </c>
      <c r="C5" s="1" t="str">
        <f>'Banco de Dados'!D5</f>
        <v>KYLO_REN</v>
      </c>
      <c r="D5" s="1" t="str">
        <f>'Banco de Dados'!L5</f>
        <v>V32</v>
      </c>
      <c r="E5" s="59" t="str">
        <f>_xlfn.CONCAT("PS388","-",'Banco de Dados'!F5,"/","PSV5000","-",'Banco de Dados'!G5,"/","FLASH100","-",'Banco de Dados'!H5)</f>
        <v>PS388-0043C036/PSV5000-/FLASH100-0043C036</v>
      </c>
    </row>
    <row r="6" spans="1:5" s="4" customFormat="1" x14ac:dyDescent="0.25">
      <c r="A6" s="1" t="s">
        <v>802</v>
      </c>
      <c r="B6" s="1" t="str">
        <f>'Banco de Dados'!J6</f>
        <v>TYPEC-U7205-KRM</v>
      </c>
      <c r="C6" s="1" t="str">
        <f>'Banco de Dados'!D6</f>
        <v>KYLO_REN</v>
      </c>
      <c r="D6" s="1" t="str">
        <f>'Banco de Dados'!L6</f>
        <v>V32</v>
      </c>
      <c r="E6" s="59" t="str">
        <f>_xlfn.CONCAT("PS388","-",'Banco de Dados'!F6,"/","PSV5000","-",'Banco de Dados'!G6,"/","FLASH100","-",'Banco de Dados'!H6)</f>
        <v>PS388-0043C036/PSV5000-/FLASH100-0043C036</v>
      </c>
    </row>
    <row r="7" spans="1:5" x14ac:dyDescent="0.25">
      <c r="A7" s="1" t="s">
        <v>803</v>
      </c>
      <c r="B7" s="1" t="str">
        <f>'Banco de Dados'!J7</f>
        <v>HDMI-U5702</v>
      </c>
      <c r="C7" s="1" t="str">
        <f>'Banco de Dados'!D7</f>
        <v>KYLO_REN</v>
      </c>
      <c r="D7" s="1" t="str">
        <f>'Banco de Dados'!L7</f>
        <v>0x34</v>
      </c>
      <c r="E7" s="59" t="str">
        <f>_xlfn.CONCAT("PS388","-",'Banco de Dados'!F7,"/","PSV5000","-",'Banco de Dados'!G7,"/","FLASH100","-",'Banco de Dados'!H7)</f>
        <v>PS388-0242FB3F/PSV5000-/FLASH100-0242FB3F</v>
      </c>
    </row>
    <row r="8" spans="1:5" x14ac:dyDescent="0.25">
      <c r="A8" s="1" t="s">
        <v>803</v>
      </c>
      <c r="B8" s="1" t="str">
        <f>'Banco de Dados'!J8</f>
        <v>HDMI-U5702</v>
      </c>
      <c r="C8" s="1" t="str">
        <f>'Banco de Dados'!D8</f>
        <v>KYLO_REN</v>
      </c>
      <c r="D8" s="1" t="str">
        <f>'Banco de Dados'!L8</f>
        <v>0x34</v>
      </c>
      <c r="E8" s="59" t="str">
        <f>_xlfn.CONCAT("PS388","-",'Banco de Dados'!F8,"/","PSV5000","-",'Banco de Dados'!G8,"/","FLASH100","-",'Banco de Dados'!H8)</f>
        <v>PS388-0242FB3F/PSV5000-/FLASH100-0242FB3F</v>
      </c>
    </row>
    <row r="9" spans="1:5" x14ac:dyDescent="0.25">
      <c r="A9" s="1" t="s">
        <v>800</v>
      </c>
      <c r="B9" s="1" t="str">
        <f>'Banco de Dados'!J9</f>
        <v>D7TT7-BIOS1-A08</v>
      </c>
      <c r="C9" s="1" t="str">
        <f>'Banco de Dados'!D9</f>
        <v>KYLO_REN</v>
      </c>
      <c r="D9" s="1" t="str">
        <f>'Banco de Dados'!L9</f>
        <v>A08 (1.9.0)</v>
      </c>
      <c r="E9" s="59" t="str">
        <f>_xlfn.CONCAT("PS388","-",'Banco de Dados'!F9,"/","PSV5000","-",'Banco de Dados'!G9,"/","FLASH100","-",'Banco de Dados'!H9)</f>
        <v>PS388-B69ACEDE/PSV5000-/FLASH100-B69ECADE</v>
      </c>
    </row>
    <row r="10" spans="1:5" x14ac:dyDescent="0.25">
      <c r="A10" s="1" t="s">
        <v>801</v>
      </c>
      <c r="B10" s="1" t="str">
        <f>'Banco de Dados'!J10</f>
        <v>D7TT7-BIOS1-A08</v>
      </c>
      <c r="C10" s="1" t="str">
        <f>'Banco de Dados'!D10</f>
        <v>KYLO_REN</v>
      </c>
      <c r="D10" s="1" t="str">
        <f>'Banco de Dados'!L10</f>
        <v>A08 (1.9.0)</v>
      </c>
      <c r="E10" s="59" t="str">
        <f>_xlfn.CONCAT("PS388","-",'Banco de Dados'!F10,"/","PSV5000","-",'Banco de Dados'!G10,"/","FLASH100","-",'Banco de Dados'!H10)</f>
        <v>PS388-B69ACEDE/PSV5000-/FLASH100-B69DCBDE</v>
      </c>
    </row>
    <row r="11" spans="1:5" x14ac:dyDescent="0.25">
      <c r="A11" s="1" t="s">
        <v>801</v>
      </c>
      <c r="B11" s="1" t="str">
        <f>'Banco de Dados'!J11</f>
        <v>D7TT7-BIOS1-A08</v>
      </c>
      <c r="C11" s="1" t="str">
        <f>'Banco de Dados'!D11</f>
        <v>KYLO_REN</v>
      </c>
      <c r="D11" s="1" t="str">
        <f>'Banco de Dados'!L11</f>
        <v>A08 (1.9.0)</v>
      </c>
      <c r="E11" s="59" t="str">
        <f>_xlfn.CONCAT("PS388","-",'Banco de Dados'!F11,"/","PSV5000","-",'Banco de Dados'!G11,"/","FLASH100","-",'Banco de Dados'!H11)</f>
        <v>PS388-B69ACEDE/PSV5000-/FLASH100-B69DCBDE</v>
      </c>
    </row>
    <row r="12" spans="1:5" x14ac:dyDescent="0.25">
      <c r="A12" s="1" t="s">
        <v>802</v>
      </c>
      <c r="B12" s="1" t="str">
        <f>'Banco de Dados'!J12</f>
        <v>TYPEC-U7205-KRM</v>
      </c>
      <c r="C12" s="1" t="str">
        <f>'Banco de Dados'!D12</f>
        <v>KYLO_REN</v>
      </c>
      <c r="D12" s="1" t="str">
        <f>'Banco de Dados'!L12</f>
        <v>V32</v>
      </c>
      <c r="E12" s="59" t="str">
        <f>_xlfn.CONCAT("PS388","-",'Banco de Dados'!F12,"/","PSV5000","-",'Banco de Dados'!G12,"/","FLASH100","-",'Banco de Dados'!H12)</f>
        <v>PS388-0043C036/PSV5000-/FLASH100-0043C036</v>
      </c>
    </row>
    <row r="13" spans="1:5" x14ac:dyDescent="0.25">
      <c r="A13" s="1" t="s">
        <v>802</v>
      </c>
      <c r="B13" s="1" t="str">
        <f>'Banco de Dados'!J13</f>
        <v>TYPEC-U7205-KRM</v>
      </c>
      <c r="C13" s="1" t="str">
        <f>'Banco de Dados'!D13</f>
        <v>KYLO_REN</v>
      </c>
      <c r="D13" s="1" t="str">
        <f>'Banco de Dados'!L13</f>
        <v>V32</v>
      </c>
      <c r="E13" s="59" t="str">
        <f>_xlfn.CONCAT("PS388","-",'Banco de Dados'!F13,"/","PSV5000","-",'Banco de Dados'!G13,"/","FLASH100","-",'Banco de Dados'!H13)</f>
        <v>PS388-0043C036/PSV5000-/FLASH100-0043C036</v>
      </c>
    </row>
    <row r="14" spans="1:5" x14ac:dyDescent="0.25">
      <c r="A14" s="1" t="s">
        <v>803</v>
      </c>
      <c r="B14" s="1" t="str">
        <f>'Banco de Dados'!J14</f>
        <v>HDMI-U5702</v>
      </c>
      <c r="C14" s="1" t="str">
        <f>'Banco de Dados'!D14</f>
        <v>KYLO_REN</v>
      </c>
      <c r="D14" s="1" t="str">
        <f>'Banco de Dados'!L14</f>
        <v>0x34</v>
      </c>
      <c r="E14" s="59" t="str">
        <f>_xlfn.CONCAT("PS388","-",'Banco de Dados'!F14,"/","PSV5000","-",'Banco de Dados'!G14,"/","FLASH100","-",'Banco de Dados'!H14)</f>
        <v>PS388-0242FB3F/PSV5000-/FLASH100-0242FB3F</v>
      </c>
    </row>
    <row r="15" spans="1:5" x14ac:dyDescent="0.25">
      <c r="A15" s="1" t="s">
        <v>803</v>
      </c>
      <c r="B15" s="1" t="str">
        <f>'Banco de Dados'!J15</f>
        <v>HDMI-U5702</v>
      </c>
      <c r="C15" s="1" t="str">
        <f>'Banco de Dados'!D15</f>
        <v>KYLO_REN</v>
      </c>
      <c r="D15" s="1" t="str">
        <f>'Banco de Dados'!L15</f>
        <v>0x34</v>
      </c>
      <c r="E15" s="59" t="str">
        <f>_xlfn.CONCAT("PS388","-",'Banco de Dados'!F15,"/","PSV5000","-",'Banco de Dados'!G15,"/","FLASH100","-",'Banco de Dados'!H15)</f>
        <v>PS388-0242FB3F/PSV5000-/FLASH100-0242FB3F</v>
      </c>
    </row>
    <row r="16" spans="1:5" x14ac:dyDescent="0.25">
      <c r="A16" s="1" t="s">
        <v>804</v>
      </c>
      <c r="B16" s="1" t="str">
        <f>'Banco de Dados'!J16</f>
        <v>32H24-U2501-A03</v>
      </c>
      <c r="C16" s="1" t="str">
        <f>'Banco de Dados'!D16</f>
        <v>BUCKY_N5_V5</v>
      </c>
      <c r="D16" s="1" t="str">
        <f>'Banco de Dados'!L16</f>
        <v>A05_(2.2.0)</v>
      </c>
      <c r="E16" s="59" t="str">
        <f>_xlfn.CONCAT("PS388","-",'Banco de Dados'!F16,"/","PSV5000","-",'Banco de Dados'!G16,"/","FLASH100","-",'Banco de Dados'!H16)</f>
        <v>PS388-B5CEC1BB/PSV5000-/FLASH100-B5D2BDBB</v>
      </c>
    </row>
    <row r="17" spans="1:5" x14ac:dyDescent="0.25">
      <c r="A17" s="1" t="s">
        <v>805</v>
      </c>
      <c r="B17" s="1" t="str">
        <f>'Banco de Dados'!J17</f>
        <v>32H24-U2501-A03</v>
      </c>
      <c r="C17" s="1" t="str">
        <f>'Banco de Dados'!D17</f>
        <v>BUCKY_N5_V5</v>
      </c>
      <c r="D17" s="1" t="str">
        <f>'Banco de Dados'!L17</f>
        <v>A05_(2.2.0)</v>
      </c>
      <c r="E17" s="59" t="str">
        <f>_xlfn.CONCAT("PS388","-",'Banco de Dados'!F17,"/","PSV5000","-",'Banco de Dados'!G17,"/","FLASH100","-",'Banco de Dados'!H17)</f>
        <v>PS388-B5CEC1BB/PSV5000-/FLASH100-B5D1BEBB</v>
      </c>
    </row>
    <row r="18" spans="1:5" x14ac:dyDescent="0.25">
      <c r="A18" s="1" t="s">
        <v>805</v>
      </c>
      <c r="B18" s="1" t="str">
        <f>'Banco de Dados'!J18</f>
        <v>32H24-U2501-A03</v>
      </c>
      <c r="C18" s="1" t="str">
        <f>'Banco de Dados'!D18</f>
        <v>BUCKY_N5_V5</v>
      </c>
      <c r="D18" s="1" t="str">
        <f>'Banco de Dados'!L18</f>
        <v>A05_(2.2.0)</v>
      </c>
      <c r="E18" s="59" t="str">
        <f>_xlfn.CONCAT("PS388","-",'Banco de Dados'!F18,"/","PSV5000","-",'Banco de Dados'!G18,"/","FLASH100","-",'Banco de Dados'!H18)</f>
        <v>PS388-B5CEC1BB/PSV5000-/FLASH100-B5D1BEBB</v>
      </c>
    </row>
    <row r="19" spans="1:5" x14ac:dyDescent="0.25">
      <c r="A19" s="1" t="s">
        <v>806</v>
      </c>
      <c r="B19" s="1" t="str">
        <f>'Banco de Dados'!J19</f>
        <v>TYPEC-U7205-BKY</v>
      </c>
      <c r="C19" s="1" t="str">
        <f>'Banco de Dados'!D19</f>
        <v>BUCKY_N5_V5</v>
      </c>
      <c r="D19" s="1" t="str">
        <f>'Banco de Dados'!L19</f>
        <v>V32</v>
      </c>
      <c r="E19" s="59" t="str">
        <f>_xlfn.CONCAT("PS388","-",'Banco de Dados'!F19,"/","PSV5000","-",'Banco de Dados'!G19,"/","FLASH100","-",'Banco de Dados'!H19)</f>
        <v>PS388-00438076/PSV5000-/FLASH100-0FBDF676</v>
      </c>
    </row>
    <row r="20" spans="1:5" x14ac:dyDescent="0.25">
      <c r="A20" s="1" t="s">
        <v>804</v>
      </c>
      <c r="B20" s="1" t="str">
        <f>'Banco de Dados'!J20</f>
        <v>32H24-U2501-A04</v>
      </c>
      <c r="C20" s="1" t="str">
        <f>'Banco de Dados'!D20</f>
        <v>BUCKY_N5_V5</v>
      </c>
      <c r="D20" s="1" t="str">
        <f>'Banco de Dados'!L20</f>
        <v>A05_(2.2.0)</v>
      </c>
      <c r="E20" s="59" t="str">
        <f>_xlfn.CONCAT("PS388","-",'Banco de Dados'!F20,"/","PSV5000","-",'Banco de Dados'!G20,"/","FLASH100","-",'Banco de Dados'!H20)</f>
        <v>PS388-B5CEC1BB/PSV5000-/FLASH100-B5D2BDBB</v>
      </c>
    </row>
    <row r="21" spans="1:5" x14ac:dyDescent="0.25">
      <c r="A21" s="1" t="s">
        <v>805</v>
      </c>
      <c r="B21" s="1" t="str">
        <f>'Banco de Dados'!J21</f>
        <v>32H24-U2501-A04</v>
      </c>
      <c r="C21" s="1" t="str">
        <f>'Banco de Dados'!D21</f>
        <v>BUCKY_N5_V5</v>
      </c>
      <c r="D21" s="1" t="str">
        <f>'Banco de Dados'!L21</f>
        <v>A05_(2.2.0)</v>
      </c>
      <c r="E21" s="59" t="str">
        <f>_xlfn.CONCAT("PS388","-",'Banco de Dados'!F21,"/","PSV5000","-",'Banco de Dados'!G21,"/","FLASH100","-",'Banco de Dados'!H21)</f>
        <v>PS388-B5CEC1BB/PSV5000-/FLASH100-B5D1BEBB</v>
      </c>
    </row>
    <row r="22" spans="1:5" x14ac:dyDescent="0.25">
      <c r="A22" s="1" t="s">
        <v>805</v>
      </c>
      <c r="B22" s="1" t="str">
        <f>'Banco de Dados'!J22</f>
        <v>32H24-U2501-A04</v>
      </c>
      <c r="C22" s="1" t="str">
        <f>'Banco de Dados'!D22</f>
        <v>BUCKY_N5_V5</v>
      </c>
      <c r="D22" s="1" t="str">
        <f>'Banco de Dados'!L22</f>
        <v>A05_(2.2.0)</v>
      </c>
      <c r="E22" s="59" t="str">
        <f>_xlfn.CONCAT("PS388","-",'Banco de Dados'!F22,"/","PSV5000","-",'Banco de Dados'!G22,"/","FLASH100","-",'Banco de Dados'!H22)</f>
        <v>PS388-B5CEC1BB/PSV5000-/FLASH100-B5D1BEBB</v>
      </c>
    </row>
    <row r="23" spans="1:5" x14ac:dyDescent="0.25">
      <c r="A23" s="1" t="s">
        <v>806</v>
      </c>
      <c r="B23" s="1" t="str">
        <f>'Banco de Dados'!J23</f>
        <v>TYPEC-U7205-BKY</v>
      </c>
      <c r="C23" s="1" t="str">
        <f>'Banco de Dados'!D23</f>
        <v>BUCKY_N5_V5</v>
      </c>
      <c r="D23" s="1" t="str">
        <f>'Banco de Dados'!L23</f>
        <v>V32</v>
      </c>
      <c r="E23" s="59" t="str">
        <f>_xlfn.CONCAT("PS388","-",'Banco de Dados'!F23,"/","PSV5000","-",'Banco de Dados'!G23,"/","FLASH100","-",'Banco de Dados'!H23)</f>
        <v>PS388-00438076/PSV5000-/FLASH100-0FBDF676</v>
      </c>
    </row>
    <row r="24" spans="1:5" x14ac:dyDescent="0.25">
      <c r="A24" s="1" t="s">
        <v>805</v>
      </c>
      <c r="B24" s="1" t="str">
        <f>'Banco de Dados'!J24</f>
        <v>H42M5-U2501-A02</v>
      </c>
      <c r="C24" s="1" t="str">
        <f>'Banco de Dados'!D24</f>
        <v>BUCKY_N5_V5</v>
      </c>
      <c r="D24" s="1" t="str">
        <f>'Banco de Dados'!L24</f>
        <v>A02 (2.2.0)</v>
      </c>
      <c r="E24" s="59" t="str">
        <f>_xlfn.CONCAT("PS388","-",'Banco de Dados'!F24,"/","PSV5000","-",'Banco de Dados'!G24,"/","FLASH100","-",'Banco de Dados'!H24)</f>
        <v>PS388-B5CEC1BB/PSV5000-/FLASH100-B5D1BEBB</v>
      </c>
    </row>
    <row r="25" spans="1:5" x14ac:dyDescent="0.25">
      <c r="A25" s="1" t="s">
        <v>805</v>
      </c>
      <c r="B25" s="1" t="str">
        <f>'Banco de Dados'!J25</f>
        <v>H42M5-U2501-A02</v>
      </c>
      <c r="C25" s="1" t="str">
        <f>'Banco de Dados'!D25</f>
        <v>BUCKY_N5_V5</v>
      </c>
      <c r="D25" s="1" t="str">
        <f>'Banco de Dados'!L25</f>
        <v>A02 (2.2.0)</v>
      </c>
      <c r="E25" s="59" t="str">
        <f>_xlfn.CONCAT("PS388","-",'Banco de Dados'!F25,"/","PSV5000","-",'Banco de Dados'!G25,"/","FLASH100","-",'Banco de Dados'!H25)</f>
        <v>PS388-B5CEC1BB/PSV5000-/FLASH100-B5D1BEBB</v>
      </c>
    </row>
    <row r="26" spans="1:5" x14ac:dyDescent="0.25">
      <c r="A26" s="1" t="s">
        <v>805</v>
      </c>
      <c r="B26" s="1" t="str">
        <f>'Banco de Dados'!J26</f>
        <v>H42M5-U2501-A02</v>
      </c>
      <c r="C26" s="1" t="str">
        <f>'Banco de Dados'!D26</f>
        <v>BUCKY_N5_V5</v>
      </c>
      <c r="D26" s="1" t="str">
        <f>'Banco de Dados'!L26</f>
        <v>A02 (2.2.0)</v>
      </c>
      <c r="E26" s="59" t="str">
        <f>_xlfn.CONCAT("PS388","-",'Banco de Dados'!F26,"/","PSV5000","-",'Banco de Dados'!G26,"/","FLASH100","-",'Banco de Dados'!H26)</f>
        <v>PS388-B5CEC1BB/PSV5000-/FLASH100-B5D1BEBB</v>
      </c>
    </row>
    <row r="27" spans="1:5" x14ac:dyDescent="0.25">
      <c r="A27" s="1" t="s">
        <v>806</v>
      </c>
      <c r="B27" s="1" t="str">
        <f>'Banco de Dados'!J27</f>
        <v>TYPEC-U7205-BKY</v>
      </c>
      <c r="C27" s="1" t="str">
        <f>'Banco de Dados'!D27</f>
        <v>BUCKY_N5_V5</v>
      </c>
      <c r="D27" s="1" t="str">
        <f>'Banco de Dados'!L27</f>
        <v>V32</v>
      </c>
      <c r="E27" s="59" t="str">
        <f>_xlfn.CONCAT("PS388","-",'Banco de Dados'!F27,"/","PSV5000","-",'Banco de Dados'!G27,"/","FLASH100","-",'Banco de Dados'!H27)</f>
        <v>PS388-00438076/PSV5000-/FLASH100-0FBDF676</v>
      </c>
    </row>
    <row r="28" spans="1:5" x14ac:dyDescent="0.25">
      <c r="A28" s="1" t="s">
        <v>804</v>
      </c>
      <c r="B28" s="1" t="str">
        <f>'Banco de Dados'!J28</f>
        <v>H42M5-U2501-A02</v>
      </c>
      <c r="C28" s="1" t="str">
        <f>'Banco de Dados'!D28</f>
        <v>BUCKY_N5_V5</v>
      </c>
      <c r="D28" s="1" t="str">
        <f>'Banco de Dados'!L28</f>
        <v>A02 (2.2.0)</v>
      </c>
      <c r="E28" s="59" t="str">
        <f>_xlfn.CONCAT("PS388","-",'Banco de Dados'!F28,"/","PSV5000","-",'Banco de Dados'!G28,"/","FLASH100","-",'Banco de Dados'!H28)</f>
        <v>PS388-B5CEC1BB/PSV5000-/FLASH100-B5D2BDBB</v>
      </c>
    </row>
    <row r="29" spans="1:5" x14ac:dyDescent="0.25">
      <c r="A29" s="1" t="s">
        <v>805</v>
      </c>
      <c r="B29" s="1" t="str">
        <f>'Banco de Dados'!J29</f>
        <v>H42M5-U2501-A02</v>
      </c>
      <c r="C29" s="1" t="str">
        <f>'Banco de Dados'!D29</f>
        <v>BUCKY_N5_V5</v>
      </c>
      <c r="D29" s="1" t="str">
        <f>'Banco de Dados'!L29</f>
        <v>A02 (2.2.0)</v>
      </c>
      <c r="E29" s="59" t="str">
        <f>_xlfn.CONCAT("PS388","-",'Banco de Dados'!F29,"/","PSV5000","-",'Banco de Dados'!G29,"/","FLASH100","-",'Banco de Dados'!H29)</f>
        <v>PS388-B5CEC1BB/PSV5000-/FLASH100-B5D1BEBB</v>
      </c>
    </row>
    <row r="30" spans="1:5" x14ac:dyDescent="0.25">
      <c r="A30" s="1" t="s">
        <v>805</v>
      </c>
      <c r="B30" s="1" t="str">
        <f>'Banco de Dados'!J30</f>
        <v>H42M5-U2501-A02</v>
      </c>
      <c r="C30" s="1" t="str">
        <f>'Banco de Dados'!D30</f>
        <v>BUCKY_N5_V5</v>
      </c>
      <c r="D30" s="1" t="str">
        <f>'Banco de Dados'!L30</f>
        <v>A02 (2.2.0)</v>
      </c>
      <c r="E30" s="59" t="str">
        <f>_xlfn.CONCAT("PS388","-",'Banco de Dados'!F30,"/","PSV5000","-",'Banco de Dados'!G30,"/","FLASH100","-",'Banco de Dados'!H30)</f>
        <v>PS388-B5CEC1BB/PSV5000-/FLASH100-B5D1BEBB</v>
      </c>
    </row>
    <row r="31" spans="1:5" x14ac:dyDescent="0.25">
      <c r="A31" s="1" t="s">
        <v>806</v>
      </c>
      <c r="B31" s="1" t="str">
        <f>'Banco de Dados'!J31</f>
        <v>TYPEC-U7205-BKY</v>
      </c>
      <c r="C31" s="1" t="str">
        <f>'Banco de Dados'!D31</f>
        <v>BUCKY_N5_V5</v>
      </c>
      <c r="D31" s="1" t="str">
        <f>'Banco de Dados'!L31</f>
        <v>V32</v>
      </c>
      <c r="E31" s="59" t="str">
        <f>_xlfn.CONCAT("PS388","-",'Banco de Dados'!F31,"/","PSV5000","-",'Banco de Dados'!G31,"/","FLASH100","-",'Banco de Dados'!H31)</f>
        <v>PS388-00438076/PSV5000-/FLASH100-0FBDF676</v>
      </c>
    </row>
    <row r="32" spans="1:5" x14ac:dyDescent="0.25">
      <c r="A32" s="1" t="s">
        <v>807</v>
      </c>
      <c r="B32" s="1" t="str">
        <f>'Banco de Dados'!J32</f>
        <v>XKK32-UC3-A06</v>
      </c>
      <c r="C32" s="1" t="str">
        <f>'Banco de Dados'!D32</f>
        <v>LOKI_KBL</v>
      </c>
      <c r="D32" s="1" t="str">
        <f>'Banco de Dados'!L32</f>
        <v>A06(1.6.0)</v>
      </c>
      <c r="E32" s="59" t="str">
        <f>_xlfn.CONCAT("PS388","-",'Banco de Dados'!F32,"/","PSV5000","-",'Banco de Dados'!G32,"/","FLASH100","-",'Banco de Dados'!H32)</f>
        <v>PS388-/PSV5000-C438B410/FLASH100-C43BB110</v>
      </c>
    </row>
    <row r="33" spans="1:5" x14ac:dyDescent="0.25">
      <c r="A33" s="1" t="s">
        <v>808</v>
      </c>
      <c r="B33" s="1" t="str">
        <f>'Banco de Dados'!J33</f>
        <v>XKK32-UC3-A06</v>
      </c>
      <c r="C33" s="1" t="str">
        <f>'Banco de Dados'!D33</f>
        <v>LOKI_KBL</v>
      </c>
      <c r="D33" s="1" t="str">
        <f>'Banco de Dados'!L33</f>
        <v>A06(1.6.0)</v>
      </c>
      <c r="E33" s="59" t="str">
        <f>_xlfn.CONCAT("PS388","-",'Banco de Dados'!F33,"/","PSV5000","-",'Banco de Dados'!G33,"/","FLASH100","-",'Banco de Dados'!H33)</f>
        <v>PS388-/PSV5000-C438B410/FLASH100-C43AB210</v>
      </c>
    </row>
    <row r="34" spans="1:5" x14ac:dyDescent="0.25">
      <c r="A34" s="1" t="s">
        <v>807</v>
      </c>
      <c r="B34" s="1" t="str">
        <f>'Banco de Dados'!J34</f>
        <v>XKK32-UC3-A06</v>
      </c>
      <c r="C34" s="1" t="str">
        <f>'Banco de Dados'!D34</f>
        <v>LOKI_KBL</v>
      </c>
      <c r="D34" s="1" t="str">
        <f>'Banco de Dados'!L34</f>
        <v>A06(1.6.0)</v>
      </c>
      <c r="E34" s="59" t="str">
        <f>_xlfn.CONCAT("PS388","-",'Banco de Dados'!F34,"/","PSV5000","-",'Banco de Dados'!G34,"/","FLASH100","-",'Banco de Dados'!H34)</f>
        <v>PS388-/PSV5000-C438B410/FLASH100-C43BB110</v>
      </c>
    </row>
    <row r="35" spans="1:5" x14ac:dyDescent="0.25">
      <c r="A35" s="1" t="s">
        <v>807</v>
      </c>
      <c r="B35" s="1" t="str">
        <f>'Banco de Dados'!J35</f>
        <v>XKK32-UC3-A06</v>
      </c>
      <c r="C35" s="1" t="str">
        <f>'Banco de Dados'!D35</f>
        <v>LOKI_KBL</v>
      </c>
      <c r="D35" s="1" t="str">
        <f>'Banco de Dados'!L35</f>
        <v>A06(1.6.0)</v>
      </c>
      <c r="E35" s="59" t="str">
        <f>_xlfn.CONCAT("PS388","-",'Banco de Dados'!F35,"/","PSV5000","-",'Banco de Dados'!G35,"/","FLASH100","-",'Banco de Dados'!H35)</f>
        <v>PS388-/PSV5000-C438B410/FLASH100-C43BB110</v>
      </c>
    </row>
    <row r="36" spans="1:5" x14ac:dyDescent="0.25">
      <c r="A36" s="1" t="s">
        <v>808</v>
      </c>
      <c r="B36" s="1" t="str">
        <f>'Banco de Dados'!J36</f>
        <v>XKK32-UC3-A06</v>
      </c>
      <c r="C36" s="1" t="str">
        <f>'Banco de Dados'!D36</f>
        <v>LOKI_KBL</v>
      </c>
      <c r="D36" s="1" t="str">
        <f>'Banco de Dados'!L36</f>
        <v>A06(1.6.0)</v>
      </c>
      <c r="E36" s="59" t="str">
        <f>_xlfn.CONCAT("PS388","-",'Banco de Dados'!F36,"/","PSV5000","-",'Banco de Dados'!G36,"/","FLASH100","-",'Banco de Dados'!H36)</f>
        <v>PS388-/PSV5000-C438B410/FLASH100-C43AB210</v>
      </c>
    </row>
    <row r="37" spans="1:5" x14ac:dyDescent="0.25">
      <c r="A37" s="1" t="s">
        <v>807</v>
      </c>
      <c r="B37" s="1" t="str">
        <f>'Banco de Dados'!J37</f>
        <v>XKK32-UC3-A06</v>
      </c>
      <c r="C37" s="1" t="str">
        <f>'Banco de Dados'!D37</f>
        <v>LOKI_KBL</v>
      </c>
      <c r="D37" s="1" t="str">
        <f>'Banco de Dados'!L37</f>
        <v>A06(1.6.0)</v>
      </c>
      <c r="E37" s="59" t="str">
        <f>_xlfn.CONCAT("PS388","-",'Banco de Dados'!F37,"/","PSV5000","-",'Banco de Dados'!G37,"/","FLASH100","-",'Banco de Dados'!H37)</f>
        <v>PS388-/PSV5000-C438B410/FLASH100-C43BB110</v>
      </c>
    </row>
    <row r="38" spans="1:5" x14ac:dyDescent="0.25">
      <c r="A38" s="1" t="s">
        <v>809</v>
      </c>
      <c r="B38" s="1" t="str">
        <f>'Banco de Dados'!J38</f>
        <v>XKK32-UC3-A06</v>
      </c>
      <c r="C38" s="1" t="str">
        <f>'Banco de Dados'!D38</f>
        <v>LOKI_KBL</v>
      </c>
      <c r="D38" s="1" t="str">
        <f>'Banco de Dados'!L38</f>
        <v>A05(1.5.0)</v>
      </c>
      <c r="E38" s="59" t="str">
        <f>_xlfn.CONCAT("PS388","-",'Banco de Dados'!F38,"/","PSV5000","-",'Banco de Dados'!G38,"/","FLASH100","-",'Banco de Dados'!H38)</f>
        <v>PS388-C44196B3/PSV5000-/FLASH100-C44493B3</v>
      </c>
    </row>
    <row r="39" spans="1:5" x14ac:dyDescent="0.25">
      <c r="A39" s="1" t="s">
        <v>810</v>
      </c>
      <c r="B39" s="1" t="str">
        <f>'Banco de Dados'!J39</f>
        <v>XKK32-UC3-A06</v>
      </c>
      <c r="C39" s="1" t="str">
        <f>'Banco de Dados'!D39</f>
        <v>LOKI_KBL</v>
      </c>
      <c r="D39" s="1" t="str">
        <f>'Banco de Dados'!L39</f>
        <v>A05(1.5.0)</v>
      </c>
      <c r="E39" s="59" t="str">
        <f>_xlfn.CONCAT("PS388","-",'Banco de Dados'!F39,"/","PSV5000","-",'Banco de Dados'!G39,"/","FLASH100","-",'Banco de Dados'!H39)</f>
        <v>PS388-C44196B3/PSV5000-/FLASH100-C44394B3</v>
      </c>
    </row>
    <row r="40" spans="1:5" x14ac:dyDescent="0.25">
      <c r="A40" s="1" t="s">
        <v>809</v>
      </c>
      <c r="B40" s="1" t="str">
        <f>'Banco de Dados'!J40</f>
        <v>XKK32-UC3-A06</v>
      </c>
      <c r="C40" s="1" t="str">
        <f>'Banco de Dados'!D40</f>
        <v>LOKI_KBL</v>
      </c>
      <c r="D40" s="1" t="str">
        <f>'Banco de Dados'!L40</f>
        <v>A05(1.5.0)</v>
      </c>
      <c r="E40" s="59" t="str">
        <f>_xlfn.CONCAT("PS388","-",'Banco de Dados'!F40,"/","PSV5000","-",'Banco de Dados'!G40,"/","FLASH100","-",'Banco de Dados'!H40)</f>
        <v>PS388-C44196B3/PSV5000-/FLASH100-C44493B3</v>
      </c>
    </row>
    <row r="41" spans="1:5" x14ac:dyDescent="0.25">
      <c r="A41" s="1" t="s">
        <v>809</v>
      </c>
      <c r="B41" s="1" t="str">
        <f>'Banco de Dados'!J41</f>
        <v>XKK32-UC3-A06</v>
      </c>
      <c r="C41" s="1" t="str">
        <f>'Banco de Dados'!D41</f>
        <v>LOKI_KBL</v>
      </c>
      <c r="D41" s="1" t="str">
        <f>'Banco de Dados'!L41</f>
        <v>A05(1.5.0)</v>
      </c>
      <c r="E41" s="59" t="str">
        <f>_xlfn.CONCAT("PS388","-",'Banco de Dados'!F41,"/","PSV5000","-",'Banco de Dados'!G41,"/","FLASH100","-",'Banco de Dados'!H41)</f>
        <v>PS388-C44196B3/PSV5000-/FLASH100-C44493B3</v>
      </c>
    </row>
    <row r="42" spans="1:5" x14ac:dyDescent="0.25">
      <c r="A42" s="1" t="s">
        <v>810</v>
      </c>
      <c r="B42" s="1" t="str">
        <f>'Banco de Dados'!J42</f>
        <v>XKK32-UC3-A06</v>
      </c>
      <c r="C42" s="1" t="str">
        <f>'Banco de Dados'!D42</f>
        <v>LOKI_KBL</v>
      </c>
      <c r="D42" s="1" t="str">
        <f>'Banco de Dados'!L42</f>
        <v>A05(1.5.0)</v>
      </c>
      <c r="E42" s="59" t="str">
        <f>_xlfn.CONCAT("PS388","-",'Banco de Dados'!F42,"/","PSV5000","-",'Banco de Dados'!G42,"/","FLASH100","-",'Banco de Dados'!H42)</f>
        <v>PS388-C44196B3/PSV5000-/FLASH100-C44394B3</v>
      </c>
    </row>
    <row r="43" spans="1:5" x14ac:dyDescent="0.25">
      <c r="A43" s="1" t="s">
        <v>809</v>
      </c>
      <c r="B43" s="1" t="str">
        <f>'Banco de Dados'!J43</f>
        <v>XKK32-UC3-A06</v>
      </c>
      <c r="C43" s="1" t="str">
        <f>'Banco de Dados'!D43</f>
        <v>LOKI_KBL</v>
      </c>
      <c r="D43" s="1" t="str">
        <f>'Banco de Dados'!L43</f>
        <v>A05(1.5.0)</v>
      </c>
      <c r="E43" s="59" t="str">
        <f>_xlfn.CONCAT("PS388","-",'Banco de Dados'!F43,"/","PSV5000","-",'Banco de Dados'!G43,"/","FLASH100","-",'Banco de Dados'!H43)</f>
        <v>PS388-C44196B3/PSV5000-/FLASH100-C44493B3</v>
      </c>
    </row>
    <row r="44" spans="1:5" x14ac:dyDescent="0.25">
      <c r="A44" s="1" t="s">
        <v>811</v>
      </c>
      <c r="B44" s="1" t="str">
        <f>'Banco de Dados'!J44</f>
        <v>NXT4P-UC3-A07</v>
      </c>
      <c r="C44" s="1" t="str">
        <f>'Banco de Dados'!D44</f>
        <v>LOKI_WHL</v>
      </c>
      <c r="D44" s="1" t="str">
        <f>'Banco de Dados'!L44</f>
        <v>A07(1.7.0)</v>
      </c>
      <c r="E44" s="59" t="str">
        <f>_xlfn.CONCAT("PS388","-",'Banco de Dados'!F44,"/","PSV5000","-",'Banco de Dados'!G44,"/","FLASH100","-",'Banco de Dados'!H44)</f>
        <v>PS388-/PSV5000-BD75F94F/FLASH100-BD78F64F</v>
      </c>
    </row>
    <row r="45" spans="1:5" x14ac:dyDescent="0.25">
      <c r="A45" s="1" t="s">
        <v>812</v>
      </c>
      <c r="B45" s="1" t="str">
        <f>'Banco de Dados'!J45</f>
        <v>NXT4P-UC3-A07</v>
      </c>
      <c r="C45" s="1" t="str">
        <f>'Banco de Dados'!D45</f>
        <v>LOKI_WHL</v>
      </c>
      <c r="D45" s="1" t="str">
        <f>'Banco de Dados'!L45</f>
        <v>A07(1.7.0)</v>
      </c>
      <c r="E45" s="59" t="str">
        <f>_xlfn.CONCAT("PS388","-",'Banco de Dados'!F45,"/","PSV5000","-",'Banco de Dados'!G45,"/","FLASH100","-",'Banco de Dados'!H45)</f>
        <v>PS388-/PSV5000-BD75F94F/FLASH100-BD77F74F</v>
      </c>
    </row>
    <row r="46" spans="1:5" x14ac:dyDescent="0.25">
      <c r="A46" s="1" t="s">
        <v>811</v>
      </c>
      <c r="B46" s="1" t="str">
        <f>'Banco de Dados'!J46</f>
        <v>NXT4P-UC3-A07</v>
      </c>
      <c r="C46" s="1" t="str">
        <f>'Banco de Dados'!D46</f>
        <v>LOKI_WHL</v>
      </c>
      <c r="D46" s="1" t="str">
        <f>'Banco de Dados'!L46</f>
        <v>A07(1.7.0)</v>
      </c>
      <c r="E46" s="59" t="str">
        <f>_xlfn.CONCAT("PS388","-",'Banco de Dados'!F46,"/","PSV5000","-",'Banco de Dados'!G46,"/","FLASH100","-",'Banco de Dados'!H46)</f>
        <v>PS388-/PSV5000-BD75F94F/FLASH100-BD78F64F</v>
      </c>
    </row>
    <row r="47" spans="1:5" x14ac:dyDescent="0.25">
      <c r="A47" s="1" t="s">
        <v>811</v>
      </c>
      <c r="B47" s="1" t="str">
        <f>'Banco de Dados'!J47</f>
        <v>NXT4P-UC3-A07</v>
      </c>
      <c r="C47" s="1" t="str">
        <f>'Banco de Dados'!D47</f>
        <v>LOKI_WHL</v>
      </c>
      <c r="D47" s="1" t="str">
        <f>'Banco de Dados'!L47</f>
        <v>A07(1.7.0)</v>
      </c>
      <c r="E47" s="59" t="str">
        <f>_xlfn.CONCAT("PS388","-",'Banco de Dados'!F47,"/","PSV5000","-",'Banco de Dados'!G47,"/","FLASH100","-",'Banco de Dados'!H47)</f>
        <v>PS388-/PSV5000-BD75F94F/FLASH100-BD78F64F</v>
      </c>
    </row>
    <row r="48" spans="1:5" x14ac:dyDescent="0.25">
      <c r="A48" s="1" t="s">
        <v>812</v>
      </c>
      <c r="B48" s="1" t="str">
        <f>'Banco de Dados'!J48</f>
        <v>NXT4P-UC3-A07</v>
      </c>
      <c r="C48" s="1" t="str">
        <f>'Banco de Dados'!D48</f>
        <v>LOKI_WHL</v>
      </c>
      <c r="D48" s="1" t="str">
        <f>'Banco de Dados'!L48</f>
        <v>A07(1.7.0)</v>
      </c>
      <c r="E48" s="59" t="str">
        <f>_xlfn.CONCAT("PS388","-",'Banco de Dados'!F48,"/","PSV5000","-",'Banco de Dados'!G48,"/","FLASH100","-",'Banco de Dados'!H48)</f>
        <v>PS388-/PSV5000-BD75F94F/FLASH100-BD77F74F</v>
      </c>
    </row>
    <row r="49" spans="1:5" x14ac:dyDescent="0.25">
      <c r="A49" s="1" t="s">
        <v>811</v>
      </c>
      <c r="B49" s="1" t="str">
        <f>'Banco de Dados'!J49</f>
        <v>NXT4P-UC3-A07</v>
      </c>
      <c r="C49" s="1" t="str">
        <f>'Banco de Dados'!D49</f>
        <v>LOKI_WHL</v>
      </c>
      <c r="D49" s="1" t="str">
        <f>'Banco de Dados'!L49</f>
        <v>A07(1.7.0)</v>
      </c>
      <c r="E49" s="59" t="str">
        <f>_xlfn.CONCAT("PS388","-",'Banco de Dados'!F49,"/","PSV5000","-",'Banco de Dados'!G49,"/","FLASH100","-",'Banco de Dados'!H49)</f>
        <v>PS388-/PSV5000-BD75F94F/FLASH100-BD78F64F</v>
      </c>
    </row>
    <row r="50" spans="1:5" x14ac:dyDescent="0.25">
      <c r="A50" s="1" t="s">
        <v>811</v>
      </c>
      <c r="B50" s="1" t="str">
        <f>'Banco de Dados'!J50</f>
        <v>NXT4P-UC3-A07</v>
      </c>
      <c r="C50" s="1" t="str">
        <f>'Banco de Dados'!D50</f>
        <v>LOKI_WHL</v>
      </c>
      <c r="D50" s="1" t="str">
        <f>'Banco de Dados'!L50</f>
        <v>A07(1.7.0)</v>
      </c>
      <c r="E50" s="59" t="str">
        <f>_xlfn.CONCAT("PS388","-",'Banco de Dados'!F50,"/","PSV5000","-",'Banco de Dados'!G50,"/","FLASH100","-",'Banco de Dados'!H50)</f>
        <v>PS388-/PSV5000-BD75F94F/FLASH100-BD78F64F</v>
      </c>
    </row>
    <row r="51" spans="1:5" x14ac:dyDescent="0.25">
      <c r="A51" s="1" t="s">
        <v>812</v>
      </c>
      <c r="B51" s="1" t="str">
        <f>'Banco de Dados'!J51</f>
        <v>NXT4P-UC3-A07</v>
      </c>
      <c r="C51" s="1" t="str">
        <f>'Banco de Dados'!D51</f>
        <v>LOKI_WHL</v>
      </c>
      <c r="D51" s="1" t="str">
        <f>'Banco de Dados'!L51</f>
        <v>A07(1.7.0)</v>
      </c>
      <c r="E51" s="59" t="str">
        <f>_xlfn.CONCAT("PS388","-",'Banco de Dados'!F51,"/","PSV5000","-",'Banco de Dados'!G51,"/","FLASH100","-",'Banco de Dados'!H51)</f>
        <v>PS388-/PSV5000-BD75F94F/FLASH100-BD77F74F</v>
      </c>
    </row>
    <row r="52" spans="1:5" x14ac:dyDescent="0.25">
      <c r="A52" s="1" t="s">
        <v>811</v>
      </c>
      <c r="B52" s="1" t="str">
        <f>'Banco de Dados'!J52</f>
        <v>NXT4P-UC3-A07</v>
      </c>
      <c r="C52" s="1" t="str">
        <f>'Banco de Dados'!D52</f>
        <v>LOKI_WHL</v>
      </c>
      <c r="D52" s="1" t="str">
        <f>'Banco de Dados'!L52</f>
        <v>A07(1.7.0)</v>
      </c>
      <c r="E52" s="59" t="str">
        <f>_xlfn.CONCAT("PS388","-",'Banco de Dados'!F52,"/","PSV5000","-",'Banco de Dados'!G52,"/","FLASH100","-",'Banco de Dados'!H52)</f>
        <v>PS388-/PSV5000-BD75F94F/FLASH100-BD78F64F</v>
      </c>
    </row>
    <row r="53" spans="1:5" x14ac:dyDescent="0.25">
      <c r="A53" s="1" t="s">
        <v>811</v>
      </c>
      <c r="B53" s="1" t="str">
        <f>'Banco de Dados'!J53</f>
        <v>NXT4P-UC3-A07</v>
      </c>
      <c r="C53" s="1" t="str">
        <f>'Banco de Dados'!D53</f>
        <v>LOKI_WHL</v>
      </c>
      <c r="D53" s="1" t="str">
        <f>'Banco de Dados'!L53</f>
        <v>A07(1.7.0)</v>
      </c>
      <c r="E53" s="59" t="str">
        <f>_xlfn.CONCAT("PS388","-",'Banco de Dados'!F53,"/","PSV5000","-",'Banco de Dados'!G53,"/","FLASH100","-",'Banco de Dados'!H53)</f>
        <v>PS388-/PSV5000-BD75F94F/FLASH100-BD78F64F</v>
      </c>
    </row>
    <row r="54" spans="1:5" x14ac:dyDescent="0.25">
      <c r="A54" s="1" t="s">
        <v>812</v>
      </c>
      <c r="B54" s="1" t="str">
        <f>'Banco de Dados'!J54</f>
        <v>NXT4P-UC3-A07</v>
      </c>
      <c r="C54" s="1" t="str">
        <f>'Banco de Dados'!D54</f>
        <v>LOKI_WHL</v>
      </c>
      <c r="D54" s="1" t="str">
        <f>'Banco de Dados'!L54</f>
        <v>A07(1.7.0)</v>
      </c>
      <c r="E54" s="59" t="str">
        <f>_xlfn.CONCAT("PS388","-",'Banco de Dados'!F54,"/","PSV5000","-",'Banco de Dados'!G54,"/","FLASH100","-",'Banco de Dados'!H54)</f>
        <v>PS388-/PSV5000-BD75F94F/FLASH100-BD77F74F</v>
      </c>
    </row>
    <row r="55" spans="1:5" x14ac:dyDescent="0.25">
      <c r="A55" s="1" t="s">
        <v>811</v>
      </c>
      <c r="B55" s="1" t="str">
        <f>'Banco de Dados'!J55</f>
        <v>NXT4P-UC3-A07</v>
      </c>
      <c r="C55" s="1" t="str">
        <f>'Banco de Dados'!D55</f>
        <v>LOKI_WHL</v>
      </c>
      <c r="D55" s="1" t="str">
        <f>'Banco de Dados'!L55</f>
        <v>A07(1.7.0)</v>
      </c>
      <c r="E55" s="59" t="str">
        <f>_xlfn.CONCAT("PS388","-",'Banco de Dados'!F55,"/","PSV5000","-",'Banco de Dados'!G55,"/","FLASH100","-",'Banco de Dados'!H55)</f>
        <v>PS388-/PSV5000-BD75F94F/FLASH100-BD78F64F</v>
      </c>
    </row>
    <row r="56" spans="1:5" x14ac:dyDescent="0.25">
      <c r="A56" s="1" t="s">
        <v>811</v>
      </c>
      <c r="B56" s="1" t="str">
        <f>'Banco de Dados'!J56</f>
        <v>NXT4P-UC3-A07</v>
      </c>
      <c r="C56" s="1" t="str">
        <f>'Banco de Dados'!D56</f>
        <v>LOKI_WHL</v>
      </c>
      <c r="D56" s="1" t="str">
        <f>'Banco de Dados'!L56</f>
        <v>A07(1.7.0)</v>
      </c>
      <c r="E56" s="59" t="str">
        <f>_xlfn.CONCAT("PS388","-",'Banco de Dados'!F56,"/","PSV5000","-",'Banco de Dados'!G56,"/","FLASH100","-",'Banco de Dados'!H56)</f>
        <v>PS388-/PSV5000-BD75F94F/FLASH100-BD78F64F</v>
      </c>
    </row>
    <row r="57" spans="1:5" x14ac:dyDescent="0.25">
      <c r="A57" s="1" t="s">
        <v>812</v>
      </c>
      <c r="B57" s="1" t="str">
        <f>'Banco de Dados'!J57</f>
        <v>NXT4P-UC3-A07</v>
      </c>
      <c r="C57" s="1" t="str">
        <f>'Banco de Dados'!D57</f>
        <v>LOKI_WHL</v>
      </c>
      <c r="D57" s="1" t="str">
        <f>'Banco de Dados'!L57</f>
        <v>A07(1.7.0)</v>
      </c>
      <c r="E57" s="59" t="str">
        <f>_xlfn.CONCAT("PS388","-",'Banco de Dados'!F57,"/","PSV5000","-",'Banco de Dados'!G57,"/","FLASH100","-",'Banco de Dados'!H57)</f>
        <v>PS388-/PSV5000-BD75F94F/FLASH100-BD77F74F</v>
      </c>
    </row>
    <row r="58" spans="1:5" x14ac:dyDescent="0.25">
      <c r="A58" s="1" t="s">
        <v>811</v>
      </c>
      <c r="B58" s="1" t="str">
        <f>'Banco de Dados'!J58</f>
        <v>NXT4P-UC3-A07</v>
      </c>
      <c r="C58" s="1" t="str">
        <f>'Banco de Dados'!D58</f>
        <v>LOKI_WHL</v>
      </c>
      <c r="D58" s="1" t="str">
        <f>'Banco de Dados'!L58</f>
        <v>A07(1.7.0)</v>
      </c>
      <c r="E58" s="59" t="str">
        <f>_xlfn.CONCAT("PS388","-",'Banco de Dados'!F58,"/","PSV5000","-",'Banco de Dados'!G58,"/","FLASH100","-",'Banco de Dados'!H58)</f>
        <v>PS388-/PSV5000-BD75F94F/FLASH100-BD78F64F</v>
      </c>
    </row>
    <row r="59" spans="1:5" x14ac:dyDescent="0.25">
      <c r="A59" s="1" t="s">
        <v>811</v>
      </c>
      <c r="B59" s="1" t="str">
        <f>'Banco de Dados'!J59</f>
        <v>NXT4P-UC3-A07</v>
      </c>
      <c r="C59" s="1" t="str">
        <f>'Banco de Dados'!D59</f>
        <v>LOKI_WHL</v>
      </c>
      <c r="D59" s="1" t="str">
        <f>'Banco de Dados'!L59</f>
        <v>A07(1.7.0)</v>
      </c>
      <c r="E59" s="59" t="str">
        <f>_xlfn.CONCAT("PS388","-",'Banco de Dados'!F59,"/","PSV5000","-",'Banco de Dados'!G59,"/","FLASH100","-",'Banco de Dados'!H59)</f>
        <v>PS388-/PSV5000-BD75F94F/FLASH100-BD78F64F</v>
      </c>
    </row>
    <row r="60" spans="1:5" x14ac:dyDescent="0.25">
      <c r="A60" s="1" t="s">
        <v>812</v>
      </c>
      <c r="B60" s="1" t="str">
        <f>'Banco de Dados'!J60</f>
        <v>NXT4P-UC3-A07</v>
      </c>
      <c r="C60" s="1" t="str">
        <f>'Banco de Dados'!D60</f>
        <v>LOKI_WHL</v>
      </c>
      <c r="D60" s="1" t="str">
        <f>'Banco de Dados'!L60</f>
        <v>A07(1.7.0)</v>
      </c>
      <c r="E60" s="59" t="str">
        <f>_xlfn.CONCAT("PS388","-",'Banco de Dados'!F60,"/","PSV5000","-",'Banco de Dados'!G60,"/","FLASH100","-",'Banco de Dados'!H60)</f>
        <v>PS388-/PSV5000-BD75F94F/FLASH100-BD77F74F</v>
      </c>
    </row>
    <row r="61" spans="1:5" x14ac:dyDescent="0.25">
      <c r="A61" s="1" t="s">
        <v>811</v>
      </c>
      <c r="B61" s="1" t="str">
        <f>'Banco de Dados'!J61</f>
        <v>NXT4P-UC3-A07</v>
      </c>
      <c r="C61" s="1" t="str">
        <f>'Banco de Dados'!D61</f>
        <v>LOKI_WHL</v>
      </c>
      <c r="D61" s="1" t="str">
        <f>'Banco de Dados'!L61</f>
        <v>A07(1.7.0)</v>
      </c>
      <c r="E61" s="59" t="str">
        <f>_xlfn.CONCAT("PS388","-",'Banco de Dados'!F61,"/","PSV5000","-",'Banco de Dados'!G61,"/","FLASH100","-",'Banco de Dados'!H61)</f>
        <v>PS388-/PSV5000-BD75F94F/FLASH100-BD78F64F</v>
      </c>
    </row>
    <row r="62" spans="1:5" x14ac:dyDescent="0.25">
      <c r="A62" s="1" t="s">
        <v>811</v>
      </c>
      <c r="B62" s="1" t="str">
        <f>'Banco de Dados'!J62</f>
        <v>NXT4P-UC3-A07</v>
      </c>
      <c r="C62" s="1" t="str">
        <f>'Banco de Dados'!D62</f>
        <v>LOKI_WHL</v>
      </c>
      <c r="D62" s="1" t="str">
        <f>'Banco de Dados'!L62</f>
        <v>A07(1.7.0)</v>
      </c>
      <c r="E62" s="59" t="str">
        <f>_xlfn.CONCAT("PS388","-",'Banco de Dados'!F62,"/","PSV5000","-",'Banco de Dados'!G62,"/","FLASH100","-",'Banco de Dados'!H62)</f>
        <v>PS388-/PSV5000-BD75F94F/FLASH100-BD78F64F</v>
      </c>
    </row>
    <row r="63" spans="1:5" x14ac:dyDescent="0.25">
      <c r="A63" s="1" t="s">
        <v>812</v>
      </c>
      <c r="B63" s="1" t="str">
        <f>'Banco de Dados'!J63</f>
        <v>NXT4P-UC3-A07</v>
      </c>
      <c r="C63" s="1" t="str">
        <f>'Banco de Dados'!D63</f>
        <v>LOKI_WHL</v>
      </c>
      <c r="D63" s="1" t="str">
        <f>'Banco de Dados'!L63</f>
        <v>A07(1.7.0)</v>
      </c>
      <c r="E63" s="59" t="str">
        <f>_xlfn.CONCAT("PS388","-",'Banco de Dados'!F63,"/","PSV5000","-",'Banco de Dados'!G63,"/","FLASH100","-",'Banco de Dados'!H63)</f>
        <v>PS388-/PSV5000-BD75F94F/FLASH100-BD77F74F</v>
      </c>
    </row>
    <row r="64" spans="1:5" x14ac:dyDescent="0.25">
      <c r="A64" s="1" t="s">
        <v>811</v>
      </c>
      <c r="B64" s="1" t="str">
        <f>'Banco de Dados'!J64</f>
        <v>NXT4P-UC3-A07</v>
      </c>
      <c r="C64" s="1" t="str">
        <f>'Banco de Dados'!D64</f>
        <v>LOKI_WHL</v>
      </c>
      <c r="D64" s="1" t="str">
        <f>'Banco de Dados'!L64</f>
        <v>A07(1.7.0)</v>
      </c>
      <c r="E64" s="59" t="str">
        <f>_xlfn.CONCAT("PS388","-",'Banco de Dados'!F64,"/","PSV5000","-",'Banco de Dados'!G64,"/","FLASH100","-",'Banco de Dados'!H64)</f>
        <v>PS388-/PSV5000-BD75F94F/FLASH100-BD78F64F</v>
      </c>
    </row>
    <row r="65" spans="1:5" x14ac:dyDescent="0.25">
      <c r="A65" s="1" t="s">
        <v>811</v>
      </c>
      <c r="B65" s="1" t="str">
        <f>'Banco de Dados'!J65</f>
        <v>NXT4P-UC3-A07</v>
      </c>
      <c r="C65" s="1" t="str">
        <f>'Banco de Dados'!D65</f>
        <v>LOKI_WHL</v>
      </c>
      <c r="D65" s="1" t="str">
        <f>'Banco de Dados'!L65</f>
        <v>A07(1.7.0)</v>
      </c>
      <c r="E65" s="59" t="str">
        <f>_xlfn.CONCAT("PS388","-",'Banco de Dados'!F65,"/","PSV5000","-",'Banco de Dados'!G65,"/","FLASH100","-",'Banco de Dados'!H65)</f>
        <v>PS388-/PSV5000-BD75F94F/FLASH100-BD78F64F</v>
      </c>
    </row>
    <row r="66" spans="1:5" x14ac:dyDescent="0.25">
      <c r="A66" s="1" t="s">
        <v>812</v>
      </c>
      <c r="B66" s="1" t="str">
        <f>'Banco de Dados'!J66</f>
        <v>NXT4P-UC3-A07</v>
      </c>
      <c r="C66" s="1" t="str">
        <f>'Banco de Dados'!D66</f>
        <v>LOKI_WHL</v>
      </c>
      <c r="D66" s="1" t="str">
        <f>'Banco de Dados'!L66</f>
        <v>A07(1.7.0)</v>
      </c>
      <c r="E66" s="59" t="str">
        <f>_xlfn.CONCAT("PS388","-",'Banco de Dados'!F66,"/","PSV5000","-",'Banco de Dados'!G66,"/","FLASH100","-",'Banco de Dados'!H66)</f>
        <v>PS388-/PSV5000-BD75F94F/FLASH100-BD77F74F</v>
      </c>
    </row>
    <row r="67" spans="1:5" x14ac:dyDescent="0.25">
      <c r="A67" s="1" t="s">
        <v>811</v>
      </c>
      <c r="B67" s="1" t="str">
        <f>'Banco de Dados'!J67</f>
        <v>NXT4P-UC3-A07</v>
      </c>
      <c r="C67" s="1" t="str">
        <f>'Banco de Dados'!D67</f>
        <v>LOKI_WHL</v>
      </c>
      <c r="D67" s="1" t="str">
        <f>'Banco de Dados'!L67</f>
        <v>A07(1.7.0)</v>
      </c>
      <c r="E67" s="59" t="str">
        <f>_xlfn.CONCAT("PS388","-",'Banco de Dados'!F67,"/","PSV5000","-",'Banco de Dados'!G67,"/","FLASH100","-",'Banco de Dados'!H67)</f>
        <v>PS388-/PSV5000-BD75F94F/FLASH100-BD78F64F</v>
      </c>
    </row>
    <row r="68" spans="1:5" x14ac:dyDescent="0.25">
      <c r="A68" s="1" t="s">
        <v>813</v>
      </c>
      <c r="B68" s="1" t="str">
        <f>'Banco de Dados'!J68</f>
        <v>KDNHH-A11</v>
      </c>
      <c r="C68" s="1" t="str">
        <f>'Banco de Dados'!D68</f>
        <v>BOLT</v>
      </c>
      <c r="D68" s="1" t="str">
        <f>'Banco de Dados'!L68</f>
        <v>A11(1.11.0)</v>
      </c>
      <c r="E68" s="59" t="str">
        <f>_xlfn.CONCAT("PS388","-",'Banco de Dados'!F68,"/","PSV5000","-",'Banco de Dados'!G68,"/","FLASH100","-",'Banco de Dados'!H68)</f>
        <v>PS388-/PSV5000-B7FF0C70/FLASH100-B8030870</v>
      </c>
    </row>
    <row r="69" spans="1:5" x14ac:dyDescent="0.25">
      <c r="A69" s="1" t="s">
        <v>814</v>
      </c>
      <c r="B69" s="1" t="str">
        <f>'Banco de Dados'!J69</f>
        <v>KDNHH-A11</v>
      </c>
      <c r="C69" s="1" t="str">
        <f>'Banco de Dados'!D69</f>
        <v>BOLT</v>
      </c>
      <c r="D69" s="1" t="str">
        <f>'Banco de Dados'!L69</f>
        <v>A11(1.11.0)</v>
      </c>
      <c r="E69" s="59" t="str">
        <f>_xlfn.CONCAT("PS388","-",'Banco de Dados'!F69,"/","PSV5000","-",'Banco de Dados'!G69,"/","FLASH100","-",'Banco de Dados'!H69)</f>
        <v>PS388-/PSV5000-B7FF0C70/FLASH100-B8020970</v>
      </c>
    </row>
    <row r="70" spans="1:5" x14ac:dyDescent="0.25">
      <c r="A70" s="1" t="s">
        <v>813</v>
      </c>
      <c r="B70" s="1" t="str">
        <f>'Banco de Dados'!J70</f>
        <v>KDNHH-A11</v>
      </c>
      <c r="C70" s="1" t="str">
        <f>'Banco de Dados'!D70</f>
        <v>BOLT</v>
      </c>
      <c r="D70" s="1" t="str">
        <f>'Banco de Dados'!L70</f>
        <v>A11(1.11.0)</v>
      </c>
      <c r="E70" s="59" t="str">
        <f>_xlfn.CONCAT("PS388","-",'Banco de Dados'!F70,"/","PSV5000","-",'Banco de Dados'!G70,"/","FLASH100","-",'Banco de Dados'!H70)</f>
        <v>PS388-/PSV5000-B7FF0C70/FLASH100-B8030870</v>
      </c>
    </row>
    <row r="71" spans="1:5" x14ac:dyDescent="0.25">
      <c r="A71" s="1" t="s">
        <v>814</v>
      </c>
      <c r="B71" s="1" t="str">
        <f>'Banco de Dados'!J71</f>
        <v>KDNHH-A11</v>
      </c>
      <c r="C71" s="1" t="str">
        <f>'Banco de Dados'!D71</f>
        <v>BOLT</v>
      </c>
      <c r="D71" s="1" t="str">
        <f>'Banco de Dados'!L71</f>
        <v>A11(1.11.0)</v>
      </c>
      <c r="E71" s="59" t="str">
        <f>_xlfn.CONCAT("PS388","-",'Banco de Dados'!F71,"/","PSV5000","-",'Banco de Dados'!G71,"/","FLASH100","-",'Banco de Dados'!H71)</f>
        <v>PS388-/PSV5000-B7FF0C70/FLASH100-B8020970</v>
      </c>
    </row>
    <row r="72" spans="1:5" x14ac:dyDescent="0.25">
      <c r="A72" s="1" t="s">
        <v>813</v>
      </c>
      <c r="B72" s="1" t="str">
        <f>'Banco de Dados'!J72</f>
        <v>KDNHH-A11</v>
      </c>
      <c r="C72" s="1" t="str">
        <f>'Banco de Dados'!D72</f>
        <v>BOLT</v>
      </c>
      <c r="D72" s="1" t="str">
        <f>'Banco de Dados'!L72</f>
        <v>A11(1.11.0)</v>
      </c>
      <c r="E72" s="59" t="str">
        <f>_xlfn.CONCAT("PS388","-",'Banco de Dados'!F72,"/","PSV5000","-",'Banco de Dados'!G72,"/","FLASH100","-",'Banco de Dados'!H72)</f>
        <v>PS388-/PSV5000-B7FF0C70/FLASH100-B8030870</v>
      </c>
    </row>
    <row r="73" spans="1:5" x14ac:dyDescent="0.25">
      <c r="A73" s="1" t="s">
        <v>814</v>
      </c>
      <c r="B73" s="1" t="str">
        <f>'Banco de Dados'!J73</f>
        <v>KDNHH-A11</v>
      </c>
      <c r="C73" s="1" t="str">
        <f>'Banco de Dados'!D73</f>
        <v>BOLT</v>
      </c>
      <c r="D73" s="1" t="str">
        <f>'Banco de Dados'!L73</f>
        <v>A11(1.11.0)</v>
      </c>
      <c r="E73" s="59" t="str">
        <f>_xlfn.CONCAT("PS388","-",'Banco de Dados'!F73,"/","PSV5000","-",'Banco de Dados'!G73,"/","FLASH100","-",'Banco de Dados'!H73)</f>
        <v>PS388-/PSV5000-B7FF0C70/FLASH100-B8020970</v>
      </c>
    </row>
    <row r="74" spans="1:5" x14ac:dyDescent="0.25">
      <c r="A74" s="1" t="s">
        <v>815</v>
      </c>
      <c r="B74" s="1" t="str">
        <f>'Banco de Dados'!J74</f>
        <v>8KWYJ-F3U1-A07</v>
      </c>
      <c r="C74" s="1" t="str">
        <f>'Banco de Dados'!D74</f>
        <v>TURTLE_BAY</v>
      </c>
      <c r="D74" s="1" t="str">
        <f>'Banco de Dados'!L74</f>
        <v>A07(1.1.6)</v>
      </c>
      <c r="E74" s="59" t="str">
        <f>_xlfn.CONCAT("PS388","-",'Banco de Dados'!F74,"/","PSV5000","-",'Banco de Dados'!G74,"/","FLASH100","-",'Banco de Dados'!H74)</f>
        <v>PS388-D1C2B4D1/PSV5000-/FLASH100-96C49A60</v>
      </c>
    </row>
    <row r="75" spans="1:5" x14ac:dyDescent="0.25">
      <c r="A75" s="1" t="s">
        <v>816</v>
      </c>
      <c r="B75" s="1" t="str">
        <f>'Banco de Dados'!J75</f>
        <v>0VKWM-U7-A04</v>
      </c>
      <c r="C75" s="1" t="str">
        <f>'Banco de Dados'!D75</f>
        <v>BLUESKULL</v>
      </c>
      <c r="D75" s="1" t="str">
        <f>'Banco de Dados'!L75</f>
        <v>A04 (1.3.2)</v>
      </c>
      <c r="E75" s="59" t="str">
        <f>_xlfn.CONCAT("PS388","-",'Banco de Dados'!F75,"/","PSV5000","-",'Banco de Dados'!G75,"/","FLASH100","-",'Banco de Dados'!H75)</f>
        <v>PS388-CC593B10/PSV5000-/FLASH100-CC5B3910</v>
      </c>
    </row>
    <row r="76" spans="1:5" x14ac:dyDescent="0.25">
      <c r="A76" s="1" t="s">
        <v>817</v>
      </c>
      <c r="B76" s="1" t="str">
        <f>'Banco de Dados'!J76</f>
        <v>0VKWM-U7-A04</v>
      </c>
      <c r="C76" s="1" t="str">
        <f>'Banco de Dados'!D76</f>
        <v>BLUESKULL</v>
      </c>
      <c r="D76" s="1" t="str">
        <f>'Banco de Dados'!L76</f>
        <v>A04 (1.3.2)</v>
      </c>
      <c r="E76" s="59" t="str">
        <f>_xlfn.CONCAT("PS388","-",'Banco de Dados'!F76,"/","PSV5000","-",'Banco de Dados'!G76,"/","FLASH100","-",'Banco de Dados'!H76)</f>
        <v>PS388-CC593B10/PSV5000-/FLASH100-CC5C3810</v>
      </c>
    </row>
    <row r="77" spans="1:5" x14ac:dyDescent="0.25">
      <c r="A77" s="1" t="s">
        <v>817</v>
      </c>
      <c r="B77" s="1" t="str">
        <f>'Banco de Dados'!J77</f>
        <v>0VKWM-U7-A04</v>
      </c>
      <c r="C77" s="1" t="str">
        <f>'Banco de Dados'!D77</f>
        <v>BLUESKULL</v>
      </c>
      <c r="D77" s="1" t="str">
        <f>'Banco de Dados'!L77</f>
        <v>A04 (1.3.2)</v>
      </c>
      <c r="E77" s="59" t="str">
        <f>_xlfn.CONCAT("PS388","-",'Banco de Dados'!F77,"/","PSV5000","-",'Banco de Dados'!G77,"/","FLASH100","-",'Banco de Dados'!H77)</f>
        <v>PS388-CC593B10/PSV5000-/FLASH100-CC5C3810</v>
      </c>
    </row>
    <row r="78" spans="1:5" x14ac:dyDescent="0.25">
      <c r="A78" s="1" t="s">
        <v>818</v>
      </c>
      <c r="B78" s="1" t="str">
        <f>'Banco de Dados'!J78</f>
        <v>25CCF-U8-A06</v>
      </c>
      <c r="C78" s="1" t="str">
        <f>'Banco de Dados'!D78</f>
        <v>BISON_MLK</v>
      </c>
      <c r="D78" s="1" t="str">
        <f>'Banco de Dados'!L78</f>
        <v>A06(1.3.1)</v>
      </c>
      <c r="E78" s="59" t="str">
        <f>_xlfn.CONCAT("PS388","-",'Banco de Dados'!F78,"/","PSV5000","-",'Banco de Dados'!G78,"/","FLASH100","-",'Banco de Dados'!H78)</f>
        <v>PS388-Não Disponível/PSV5000-/FLASH100-Não Disponível</v>
      </c>
    </row>
    <row r="79" spans="1:5" x14ac:dyDescent="0.25">
      <c r="A79" s="1" t="s">
        <v>819</v>
      </c>
      <c r="B79" s="1" t="str">
        <f>'Banco de Dados'!J79</f>
        <v>25CCF-U8-A06</v>
      </c>
      <c r="C79" s="1" t="str">
        <f>'Banco de Dados'!D79</f>
        <v>BISON_MLK</v>
      </c>
      <c r="D79" s="1" t="str">
        <f>'Banco de Dados'!L79</f>
        <v>A06(1.3.1)</v>
      </c>
      <c r="E79" s="59" t="str">
        <f>_xlfn.CONCAT("PS388","-",'Banco de Dados'!F79,"/","PSV5000","-",'Banco de Dados'!G79,"/","FLASH100","-",'Banco de Dados'!H79)</f>
        <v>PS388-8EC416DA/PSV5000-/FLASH100-8ED900DA</v>
      </c>
    </row>
    <row r="80" spans="1:5" x14ac:dyDescent="0.25">
      <c r="A80" s="1" t="s">
        <v>820</v>
      </c>
      <c r="B80" s="1" t="str">
        <f>'Banco de Dados'!J80</f>
        <v>25CCF-U8-A06</v>
      </c>
      <c r="C80" s="1" t="str">
        <f>'Banco de Dados'!D80</f>
        <v>BISON_MLK</v>
      </c>
      <c r="D80" s="1" t="str">
        <f>'Banco de Dados'!L80</f>
        <v>A06(1.3.1)</v>
      </c>
      <c r="E80" s="59" t="str">
        <f>_xlfn.CONCAT("PS388","-",'Banco de Dados'!F80,"/","PSV5000","-",'Banco de Dados'!G80,"/","FLASH100","-",'Banco de Dados'!H80)</f>
        <v>PS388-8EC416DA/PSV5000-/FLASH100-8EC415DA</v>
      </c>
    </row>
    <row r="81" spans="1:5" x14ac:dyDescent="0.25">
      <c r="A81" s="1" t="s">
        <v>821</v>
      </c>
      <c r="B81" s="1" t="str">
        <f>'Banco de Dados'!J81</f>
        <v>KPGWY-SPI2-A06</v>
      </c>
      <c r="C81" s="1" t="str">
        <f>'Banco de Dados'!D81</f>
        <v>BISON_MLK</v>
      </c>
      <c r="D81" s="1" t="str">
        <f>'Banco de Dados'!L81</f>
        <v>A06(1.3.1)</v>
      </c>
      <c r="E81" s="59" t="str">
        <f>_xlfn.CONCAT("PS388","-",'Banco de Dados'!F81,"/","PSV5000","-",'Banco de Dados'!G81,"/","FLASH100","-",'Banco de Dados'!H81)</f>
        <v>PS388-8EC416DA/PSV5000-/FLASH100-8EC316DA</v>
      </c>
    </row>
    <row r="82" spans="1:5" x14ac:dyDescent="0.25">
      <c r="A82" s="1" t="s">
        <v>821</v>
      </c>
      <c r="B82" s="1" t="str">
        <f>'Banco de Dados'!J82</f>
        <v>KPGWY-SPI2-A06</v>
      </c>
      <c r="C82" s="1" t="str">
        <f>'Banco de Dados'!D82</f>
        <v>BISON_MLK</v>
      </c>
      <c r="D82" s="1" t="str">
        <f>'Banco de Dados'!L82</f>
        <v>A06(1.3.1)</v>
      </c>
      <c r="E82" s="59" t="str">
        <f>_xlfn.CONCAT("PS388","-",'Banco de Dados'!F82,"/","PSV5000","-",'Banco de Dados'!G82,"/","FLASH100","-",'Banco de Dados'!H82)</f>
        <v>PS388-8EC416DA/PSV5000-/FLASH100-8EC316DA</v>
      </c>
    </row>
    <row r="83" spans="1:5" x14ac:dyDescent="0.25">
      <c r="A83" s="1" t="s">
        <v>819</v>
      </c>
      <c r="B83" s="1" t="str">
        <f>'Banco de Dados'!J83</f>
        <v>KPGWY-SPI2-A06</v>
      </c>
      <c r="C83" s="1" t="str">
        <f>'Banco de Dados'!D83</f>
        <v>BISON_MLK</v>
      </c>
      <c r="D83" s="1" t="str">
        <f>'Banco de Dados'!L83</f>
        <v>A06(1.3.1)</v>
      </c>
      <c r="E83" s="59" t="str">
        <f>_xlfn.CONCAT("PS388","-",'Banco de Dados'!F83,"/","PSV5000","-",'Banco de Dados'!G83,"/","FLASH100","-",'Banco de Dados'!H83)</f>
        <v>PS388-8EC416DA/PSV5000-/FLASH100-8ED900DA</v>
      </c>
    </row>
    <row r="84" spans="1:5" x14ac:dyDescent="0.25">
      <c r="A84" s="1" t="s">
        <v>820</v>
      </c>
      <c r="B84" s="1" t="str">
        <f>'Banco de Dados'!J84</f>
        <v>KPGWY-SPI2-A06</v>
      </c>
      <c r="C84" s="1" t="str">
        <f>'Banco de Dados'!D84</f>
        <v>BISON_MLK</v>
      </c>
      <c r="D84" s="1" t="str">
        <f>'Banco de Dados'!L84</f>
        <v>A06(1.3.1)</v>
      </c>
      <c r="E84" s="59" t="str">
        <f>_xlfn.CONCAT("PS388","-",'Banco de Dados'!F84,"/","PSV5000","-",'Banco de Dados'!G84,"/","FLASH100","-",'Banco de Dados'!H84)</f>
        <v>PS388-8EC416DA/PSV5000-/FLASH100-8EC415DA</v>
      </c>
    </row>
    <row r="85" spans="1:5" x14ac:dyDescent="0.25">
      <c r="A85" s="1" t="s">
        <v>821</v>
      </c>
      <c r="B85" s="1" t="str">
        <f>'Banco de Dados'!J85</f>
        <v>KPGWY-SPI2-A06</v>
      </c>
      <c r="C85" s="1" t="str">
        <f>'Banco de Dados'!D85</f>
        <v>BISON_MLK</v>
      </c>
      <c r="D85" s="1" t="str">
        <f>'Banco de Dados'!L85</f>
        <v>A06(1.3.1)</v>
      </c>
      <c r="E85" s="59" t="str">
        <f>_xlfn.CONCAT("PS388","-",'Banco de Dados'!F85,"/","PSV5000","-",'Banco de Dados'!G85,"/","FLASH100","-",'Banco de Dados'!H85)</f>
        <v>PS388-8EC416DA/PSV5000-/FLASH100-8EC316DA</v>
      </c>
    </row>
    <row r="86" spans="1:5" x14ac:dyDescent="0.25">
      <c r="A86" s="1" t="s">
        <v>821</v>
      </c>
      <c r="B86" s="1" t="str">
        <f>'Banco de Dados'!J86</f>
        <v>KPGWY-SPI2-A06</v>
      </c>
      <c r="C86" s="1" t="str">
        <f>'Banco de Dados'!D86</f>
        <v>BISON_MLK</v>
      </c>
      <c r="D86" s="1" t="str">
        <f>'Banco de Dados'!L86</f>
        <v>A06(1.3.1)</v>
      </c>
      <c r="E86" s="59" t="str">
        <f>_xlfn.CONCAT("PS388","-",'Banco de Dados'!F86,"/","PSV5000","-",'Banco de Dados'!G86,"/","FLASH100","-",'Banco de Dados'!H86)</f>
        <v>PS388-8EC416DA/PSV5000-/FLASH100-8EC316DA</v>
      </c>
    </row>
    <row r="87" spans="1:5" x14ac:dyDescent="0.25">
      <c r="A87" s="1" t="s">
        <v>819</v>
      </c>
      <c r="B87" s="1" t="str">
        <f>'Banco de Dados'!J87</f>
        <v>KPGWY-SPI2-A06</v>
      </c>
      <c r="C87" s="1" t="str">
        <f>'Banco de Dados'!D87</f>
        <v>BISON_MLK</v>
      </c>
      <c r="D87" s="1" t="str">
        <f>'Banco de Dados'!L87</f>
        <v>A06(1.3.1)</v>
      </c>
      <c r="E87" s="59" t="str">
        <f>_xlfn.CONCAT("PS388","-",'Banco de Dados'!F87,"/","PSV5000","-",'Banco de Dados'!G87,"/","FLASH100","-",'Banco de Dados'!H87)</f>
        <v>PS388-8EC416DA/PSV5000-/FLASH100-8ED900DA</v>
      </c>
    </row>
    <row r="88" spans="1:5" x14ac:dyDescent="0.25">
      <c r="A88" s="1" t="s">
        <v>820</v>
      </c>
      <c r="B88" s="1" t="str">
        <f>'Banco de Dados'!J88</f>
        <v>KPGWY-SPI2-A06</v>
      </c>
      <c r="C88" s="1" t="str">
        <f>'Banco de Dados'!D88</f>
        <v>BISON_MLK</v>
      </c>
      <c r="D88" s="1" t="str">
        <f>'Banco de Dados'!L88</f>
        <v>A06(1.3.1)</v>
      </c>
      <c r="E88" s="59" t="str">
        <f>_xlfn.CONCAT("PS388","-",'Banco de Dados'!F88,"/","PSV5000","-",'Banco de Dados'!G88,"/","FLASH100","-",'Banco de Dados'!H88)</f>
        <v>PS388-8EC416DA/PSV5000-/FLASH100-8EC415DA</v>
      </c>
    </row>
    <row r="89" spans="1:5" x14ac:dyDescent="0.25">
      <c r="A89" s="1" t="s">
        <v>821</v>
      </c>
      <c r="B89" s="1" t="str">
        <f>'Banco de Dados'!J89</f>
        <v>KPGWY-SPI2-A06</v>
      </c>
      <c r="C89" s="1" t="str">
        <f>'Banco de Dados'!D89</f>
        <v>BISON_MLK</v>
      </c>
      <c r="D89" s="1" t="str">
        <f>'Banco de Dados'!L89</f>
        <v>A06(1.3.1)</v>
      </c>
      <c r="E89" s="59" t="str">
        <f>_xlfn.CONCAT("PS388","-",'Banco de Dados'!F89,"/","PSV5000","-",'Banco de Dados'!G89,"/","FLASH100","-",'Banco de Dados'!H89)</f>
        <v>PS388-8EC416DA/PSV5000-/FLASH100-8EC316DA</v>
      </c>
    </row>
    <row r="90" spans="1:5" x14ac:dyDescent="0.25">
      <c r="A90" s="1" t="s">
        <v>821</v>
      </c>
      <c r="B90" s="1" t="str">
        <f>'Banco de Dados'!J90</f>
        <v>25CCF-U9435-A06</v>
      </c>
      <c r="C90" s="1" t="str">
        <f>'Banco de Dados'!D90</f>
        <v>BISON_MLK</v>
      </c>
      <c r="D90" s="1" t="str">
        <f>'Banco de Dados'!L90</f>
        <v>A06(1.3.1)</v>
      </c>
      <c r="E90" s="59" t="str">
        <f>_xlfn.CONCAT("PS388","-",'Banco de Dados'!F90,"/","PSV5000","-",'Banco de Dados'!G90,"/","FLASH100","-",'Banco de Dados'!H90)</f>
        <v>PS388-8EC416DA/PSV5000-/FLASH100-8EC316DA</v>
      </c>
    </row>
    <row r="91" spans="1:5" x14ac:dyDescent="0.25">
      <c r="A91" s="1" t="s">
        <v>819</v>
      </c>
      <c r="B91" s="1" t="str">
        <f>'Banco de Dados'!J91</f>
        <v>25CCF-U9435-A06</v>
      </c>
      <c r="C91" s="1" t="str">
        <f>'Banco de Dados'!D91</f>
        <v>BISON_MLK</v>
      </c>
      <c r="D91" s="1" t="str">
        <f>'Banco de Dados'!L91</f>
        <v>A06(1.3.1)</v>
      </c>
      <c r="E91" s="59" t="str">
        <f>_xlfn.CONCAT("PS388","-",'Banco de Dados'!F91,"/","PSV5000","-",'Banco de Dados'!G91,"/","FLASH100","-",'Banco de Dados'!H91)</f>
        <v>PS388-8EC416DA/PSV5000-/FLASH100-8ED900DA</v>
      </c>
    </row>
    <row r="92" spans="1:5" x14ac:dyDescent="0.25">
      <c r="A92" s="1" t="s">
        <v>820</v>
      </c>
      <c r="B92" s="1" t="str">
        <f>'Banco de Dados'!J92</f>
        <v>25CCF-U9435-A06</v>
      </c>
      <c r="C92" s="1" t="str">
        <f>'Banco de Dados'!D92</f>
        <v>BISON_MLK</v>
      </c>
      <c r="D92" s="1" t="str">
        <f>'Banco de Dados'!L92</f>
        <v>A06(1.3.1)</v>
      </c>
      <c r="E92" s="59" t="str">
        <f>_xlfn.CONCAT("PS388","-",'Banco de Dados'!F92,"/","PSV5000","-",'Banco de Dados'!G92,"/","FLASH100","-",'Banco de Dados'!H92)</f>
        <v>PS388-8EC416DA/PSV5000-/FLASH100-8EC415DA</v>
      </c>
    </row>
    <row r="93" spans="1:5" x14ac:dyDescent="0.25">
      <c r="A93" s="1" t="s">
        <v>821</v>
      </c>
      <c r="B93" s="1" t="str">
        <f>'Banco de Dados'!J93</f>
        <v>25CCF-U9435-A06</v>
      </c>
      <c r="C93" s="1" t="str">
        <f>'Banco de Dados'!D93</f>
        <v>BISON_MLK</v>
      </c>
      <c r="D93" s="1" t="str">
        <f>'Banco de Dados'!L93</f>
        <v>A06(1.3.1)</v>
      </c>
      <c r="E93" s="59" t="str">
        <f>_xlfn.CONCAT("PS388","-",'Banco de Dados'!F93,"/","PSV5000","-",'Banco de Dados'!G93,"/","FLASH100","-",'Banco de Dados'!H93)</f>
        <v>PS388-8EC416DA/PSV5000-/FLASH100-8EC316DA</v>
      </c>
    </row>
    <row r="94" spans="1:5" x14ac:dyDescent="0.25">
      <c r="A94" s="1" t="s">
        <v>821</v>
      </c>
      <c r="B94" s="1" t="str">
        <f>'Banco de Dados'!J94</f>
        <v>25CCF-U9435-A06</v>
      </c>
      <c r="C94" s="1" t="str">
        <f>'Banco de Dados'!D94</f>
        <v>BISON_MLK</v>
      </c>
      <c r="D94" s="1" t="str">
        <f>'Banco de Dados'!L94</f>
        <v>A06(1.3.1)</v>
      </c>
      <c r="E94" s="59" t="str">
        <f>_xlfn.CONCAT("PS388","-",'Banco de Dados'!F94,"/","PSV5000","-",'Banco de Dados'!G94,"/","FLASH100","-",'Banco de Dados'!H94)</f>
        <v>PS388-8EC416DA/PSV5000-/FLASH100-8EC316DA</v>
      </c>
    </row>
    <row r="95" spans="1:5" x14ac:dyDescent="0.25">
      <c r="A95" s="1" t="s">
        <v>819</v>
      </c>
      <c r="B95" s="1" t="str">
        <f>'Banco de Dados'!J95</f>
        <v>25CCF-U9435-A06</v>
      </c>
      <c r="C95" s="1" t="str">
        <f>'Banco de Dados'!D95</f>
        <v>BISON_MLK</v>
      </c>
      <c r="D95" s="1" t="str">
        <f>'Banco de Dados'!L95</f>
        <v>A06(1.3.1)</v>
      </c>
      <c r="E95" s="59" t="str">
        <f>_xlfn.CONCAT("PS388","-",'Banco de Dados'!F95,"/","PSV5000","-",'Banco de Dados'!G95,"/","FLASH100","-",'Banco de Dados'!H95)</f>
        <v>PS388-8EC416DA/PSV5000-/FLASH100-8ED900DA</v>
      </c>
    </row>
    <row r="96" spans="1:5" x14ac:dyDescent="0.25">
      <c r="A96" s="1" t="s">
        <v>820</v>
      </c>
      <c r="B96" s="1" t="str">
        <f>'Banco de Dados'!J96</f>
        <v>25CCF-U9435-A06</v>
      </c>
      <c r="C96" s="1" t="str">
        <f>'Banco de Dados'!D96</f>
        <v>BISON_MLK</v>
      </c>
      <c r="D96" s="1" t="str">
        <f>'Banco de Dados'!L96</f>
        <v>A06(1.3.1)</v>
      </c>
      <c r="E96" s="59" t="str">
        <f>_xlfn.CONCAT("PS388","-",'Banco de Dados'!F96,"/","PSV5000","-",'Banco de Dados'!G96,"/","FLASH100","-",'Banco de Dados'!H96)</f>
        <v>PS388-8EC416DA/PSV5000-/FLASH100-8EC415DA</v>
      </c>
    </row>
    <row r="97" spans="1:5" x14ac:dyDescent="0.25">
      <c r="A97" s="1" t="s">
        <v>821</v>
      </c>
      <c r="B97" s="1" t="str">
        <f>'Banco de Dados'!J97</f>
        <v>25CCF-U9435-A06</v>
      </c>
      <c r="C97" s="1" t="str">
        <f>'Banco de Dados'!D97</f>
        <v>BISON_MLK</v>
      </c>
      <c r="D97" s="1" t="str">
        <f>'Banco de Dados'!L97</f>
        <v>A06(1.3.1)</v>
      </c>
      <c r="E97" s="59" t="str">
        <f>_xlfn.CONCAT("PS388","-",'Banco de Dados'!F97,"/","PSV5000","-",'Banco de Dados'!G97,"/","FLASH100","-",'Banco de Dados'!H97)</f>
        <v>PS388-8EC416DA/PSV5000-/FLASH100-8EC316DA</v>
      </c>
    </row>
    <row r="98" spans="1:5" x14ac:dyDescent="0.25">
      <c r="A98" s="1" t="s">
        <v>822</v>
      </c>
      <c r="B98" s="1" t="str">
        <f>'Banco de Dados'!J98</f>
        <v>KPGWY-SPI2-A06</v>
      </c>
      <c r="C98" s="1" t="str">
        <f>'Banco de Dados'!D98</f>
        <v>COUGAR_MLK</v>
      </c>
      <c r="D98" s="1" t="str">
        <f>'Banco de Dados'!L98</f>
        <v>A06(1.3.1)</v>
      </c>
      <c r="E98" s="59" t="str">
        <f>_xlfn.CONCAT("PS388","-",'Banco de Dados'!F98,"/","PSV5000","-",'Banco de Dados'!G98,"/","FLASH100","-",'Banco de Dados'!H98)</f>
        <v>PS388-B08E6829/PSV5000-/FLASH100-B0906629</v>
      </c>
    </row>
    <row r="99" spans="1:5" x14ac:dyDescent="0.25">
      <c r="A99" s="1" t="s">
        <v>823</v>
      </c>
      <c r="B99" s="1" t="str">
        <f>'Banco de Dados'!J99</f>
        <v>KPGWY-SPI2-A06</v>
      </c>
      <c r="C99" s="1" t="str">
        <f>'Banco de Dados'!D99</f>
        <v>COUGAR_MLK</v>
      </c>
      <c r="D99" s="1" t="str">
        <f>'Banco de Dados'!L99</f>
        <v>A06(1.3.1)</v>
      </c>
      <c r="E99" s="59" t="str">
        <f>_xlfn.CONCAT("PS388","-",'Banco de Dados'!F99,"/","PSV5000","-",'Banco de Dados'!G99,"/","FLASH100","-",'Banco de Dados'!H99)</f>
        <v>PS388-B08E6829/PSV5000-/FLASH100-B0A65029</v>
      </c>
    </row>
    <row r="100" spans="1:5" x14ac:dyDescent="0.25">
      <c r="A100" s="1" t="s">
        <v>824</v>
      </c>
      <c r="B100" s="1" t="str">
        <f>'Banco de Dados'!J100</f>
        <v>KPGWY-SPI2-A06</v>
      </c>
      <c r="C100" s="1" t="str">
        <f>'Banco de Dados'!D100</f>
        <v>COUGAR_MLK</v>
      </c>
      <c r="D100" s="1" t="str">
        <f>'Banco de Dados'!L100</f>
        <v>A06(1.3.1)</v>
      </c>
      <c r="E100" s="59" t="str">
        <f>_xlfn.CONCAT("PS388","-",'Banco de Dados'!F100,"/","PSV5000","-",'Banco de Dados'!G100,"/","FLASH100","-",'Banco de Dados'!H100)</f>
        <v>PS388-B08E6829/PSV5000-/FLASH100-B0916529</v>
      </c>
    </row>
    <row r="101" spans="1:5" x14ac:dyDescent="0.25">
      <c r="A101" s="1" t="s">
        <v>822</v>
      </c>
      <c r="B101" s="1" t="str">
        <f>'Banco de Dados'!J101</f>
        <v>KPGWY-SPI2-A06</v>
      </c>
      <c r="C101" s="1" t="str">
        <f>'Banco de Dados'!D101</f>
        <v>COUGAR_MLK</v>
      </c>
      <c r="D101" s="1" t="str">
        <f>'Banco de Dados'!L101</f>
        <v>A06(1.3.1)</v>
      </c>
      <c r="E101" s="59" t="str">
        <f>_xlfn.CONCAT("PS388","-",'Banco de Dados'!F101,"/","PSV5000","-",'Banco de Dados'!G101,"/","FLASH100","-",'Banco de Dados'!H101)</f>
        <v>PS388-B08E6829/PSV5000-/FLASH100-B0906629</v>
      </c>
    </row>
    <row r="102" spans="1:5" x14ac:dyDescent="0.25">
      <c r="A102" s="1" t="s">
        <v>822</v>
      </c>
      <c r="B102" s="1" t="str">
        <f>'Banco de Dados'!J102</f>
        <v>KPGWY-SPI2-A06</v>
      </c>
      <c r="C102" s="1" t="str">
        <f>'Banco de Dados'!D102</f>
        <v>COUGAR_MLK</v>
      </c>
      <c r="D102" s="1" t="str">
        <f>'Banco de Dados'!L102</f>
        <v>A06(1.3.1)</v>
      </c>
      <c r="E102" s="59" t="str">
        <f>_xlfn.CONCAT("PS388","-",'Banco de Dados'!F102,"/","PSV5000","-",'Banco de Dados'!G102,"/","FLASH100","-",'Banco de Dados'!H102)</f>
        <v>PS388-B08E6829/PSV5000-/FLASH100-B0906629</v>
      </c>
    </row>
    <row r="103" spans="1:5" x14ac:dyDescent="0.25">
      <c r="A103" s="1" t="s">
        <v>823</v>
      </c>
      <c r="B103" s="1" t="str">
        <f>'Banco de Dados'!J103</f>
        <v>KPGWY-SPI2-A06</v>
      </c>
      <c r="C103" s="1" t="str">
        <f>'Banco de Dados'!D103</f>
        <v>COUGAR_MLK</v>
      </c>
      <c r="D103" s="1" t="str">
        <f>'Banco de Dados'!L103</f>
        <v>A06(1.3.1)</v>
      </c>
      <c r="E103" s="59" t="str">
        <f>_xlfn.CONCAT("PS388","-",'Banco de Dados'!F103,"/","PSV5000","-",'Banco de Dados'!G103,"/","FLASH100","-",'Banco de Dados'!H103)</f>
        <v>PS388-B08E6829/PSV5000-/FLASH100-B0A65029</v>
      </c>
    </row>
    <row r="104" spans="1:5" x14ac:dyDescent="0.25">
      <c r="A104" s="1" t="s">
        <v>824</v>
      </c>
      <c r="B104" s="1" t="str">
        <f>'Banco de Dados'!J104</f>
        <v>KPGWY-SPI2-A06</v>
      </c>
      <c r="C104" s="1" t="str">
        <f>'Banco de Dados'!D104</f>
        <v>COUGAR_MLK</v>
      </c>
      <c r="D104" s="1" t="str">
        <f>'Banco de Dados'!L104</f>
        <v>A06(1.3.1)</v>
      </c>
      <c r="E104" s="59" t="str">
        <f>_xlfn.CONCAT("PS388","-",'Banco de Dados'!F104,"/","PSV5000","-",'Banco de Dados'!G104,"/","FLASH100","-",'Banco de Dados'!H104)</f>
        <v>PS388-B08E6829/PSV5000-/FLASH100-B0916529</v>
      </c>
    </row>
    <row r="105" spans="1:5" x14ac:dyDescent="0.25">
      <c r="A105" s="1" t="s">
        <v>822</v>
      </c>
      <c r="B105" s="1" t="str">
        <f>'Banco de Dados'!J105</f>
        <v>KPGWY-SPI2-A06</v>
      </c>
      <c r="C105" s="1" t="str">
        <f>'Banco de Dados'!D105</f>
        <v>COUGAR_MLK</v>
      </c>
      <c r="D105" s="1" t="str">
        <f>'Banco de Dados'!L105</f>
        <v>A06(1.3.1)</v>
      </c>
      <c r="E105" s="59" t="str">
        <f>_xlfn.CONCAT("PS388","-",'Banco de Dados'!F105,"/","PSV5000","-",'Banco de Dados'!G105,"/","FLASH100","-",'Banco de Dados'!H105)</f>
        <v>PS388-B08E6829/PSV5000-/FLASH100-B0906629</v>
      </c>
    </row>
    <row r="106" spans="1:5" x14ac:dyDescent="0.25">
      <c r="A106" s="1" t="s">
        <v>822</v>
      </c>
      <c r="B106" s="1" t="str">
        <f>'Banco de Dados'!J106</f>
        <v>KPGWY-SPI2-A06</v>
      </c>
      <c r="C106" s="1" t="str">
        <f>'Banco de Dados'!D106</f>
        <v>COUGAR_MLK</v>
      </c>
      <c r="D106" s="1" t="str">
        <f>'Banco de Dados'!L106</f>
        <v>A06(1.3.1)</v>
      </c>
      <c r="E106" s="59" t="str">
        <f>_xlfn.CONCAT("PS388","-",'Banco de Dados'!F106,"/","PSV5000","-",'Banco de Dados'!G106,"/","FLASH100","-",'Banco de Dados'!H106)</f>
        <v>PS388-B08E6829/PSV5000-/FLASH100-B0906629</v>
      </c>
    </row>
    <row r="107" spans="1:5" x14ac:dyDescent="0.25">
      <c r="A107" s="1" t="s">
        <v>823</v>
      </c>
      <c r="B107" s="1" t="str">
        <f>'Banco de Dados'!J107</f>
        <v>KPGWY-SPI2-A06</v>
      </c>
      <c r="C107" s="1" t="str">
        <f>'Banco de Dados'!D107</f>
        <v>COUGAR_MLK</v>
      </c>
      <c r="D107" s="1" t="str">
        <f>'Banco de Dados'!L107</f>
        <v>A06(1.3.1)</v>
      </c>
      <c r="E107" s="59" t="str">
        <f>_xlfn.CONCAT("PS388","-",'Banco de Dados'!F107,"/","PSV5000","-",'Banco de Dados'!G107,"/","FLASH100","-",'Banco de Dados'!H107)</f>
        <v>PS388-B08E6829/PSV5000-/FLASH100-B0A65029</v>
      </c>
    </row>
    <row r="108" spans="1:5" x14ac:dyDescent="0.25">
      <c r="A108" s="1" t="s">
        <v>824</v>
      </c>
      <c r="B108" s="1" t="str">
        <f>'Banco de Dados'!J108</f>
        <v>KPGWY-SPI2-A06</v>
      </c>
      <c r="C108" s="1" t="str">
        <f>'Banco de Dados'!D108</f>
        <v>COUGAR_MLK</v>
      </c>
      <c r="D108" s="1" t="str">
        <f>'Banco de Dados'!L108</f>
        <v>A06(1.3.1)</v>
      </c>
      <c r="E108" s="59" t="str">
        <f>_xlfn.CONCAT("PS388","-",'Banco de Dados'!F108,"/","PSV5000","-",'Banco de Dados'!G108,"/","FLASH100","-",'Banco de Dados'!H108)</f>
        <v>PS388-B08E6829/PSV5000-/FLASH100-B0916529</v>
      </c>
    </row>
    <row r="109" spans="1:5" x14ac:dyDescent="0.25">
      <c r="A109" s="1" t="s">
        <v>822</v>
      </c>
      <c r="B109" s="1" t="str">
        <f>'Banco de Dados'!J109</f>
        <v>KPGWY-SPI2-A06</v>
      </c>
      <c r="C109" s="1" t="str">
        <f>'Banco de Dados'!D109</f>
        <v>COUGAR_MLK</v>
      </c>
      <c r="D109" s="1" t="str">
        <f>'Banco de Dados'!L109</f>
        <v>A06(1.3.1)</v>
      </c>
      <c r="E109" s="59" t="str">
        <f>_xlfn.CONCAT("PS388","-",'Banco de Dados'!F109,"/","PSV5000","-",'Banco de Dados'!G109,"/","FLASH100","-",'Banco de Dados'!H109)</f>
        <v>PS388-B08E6829/PSV5000-/FLASH100-B0906629</v>
      </c>
    </row>
    <row r="110" spans="1:5" x14ac:dyDescent="0.25">
      <c r="A110" s="1" t="s">
        <v>822</v>
      </c>
      <c r="B110" s="1" t="str">
        <f>'Banco de Dados'!J110</f>
        <v>KPGWY-SPI2-A06</v>
      </c>
      <c r="C110" s="1" t="str">
        <f>'Banco de Dados'!D110</f>
        <v>COUGAR_MLK</v>
      </c>
      <c r="D110" s="1" t="str">
        <f>'Banco de Dados'!L110</f>
        <v>A06(1.3.1)</v>
      </c>
      <c r="E110" s="59" t="str">
        <f>_xlfn.CONCAT("PS388","-",'Banco de Dados'!F110,"/","PSV5000","-",'Banco de Dados'!G110,"/","FLASH100","-",'Banco de Dados'!H110)</f>
        <v>PS388-B08E6829/PSV5000-/FLASH100-B0906629</v>
      </c>
    </row>
    <row r="111" spans="1:5" x14ac:dyDescent="0.25">
      <c r="A111" s="1" t="s">
        <v>823</v>
      </c>
      <c r="B111" s="1" t="str">
        <f>'Banco de Dados'!J111</f>
        <v>KPGWY-SPI2-A06</v>
      </c>
      <c r="C111" s="1" t="str">
        <f>'Banco de Dados'!D111</f>
        <v>COUGAR_MLK</v>
      </c>
      <c r="D111" s="1" t="str">
        <f>'Banco de Dados'!L111</f>
        <v>A06(1.3.1)</v>
      </c>
      <c r="E111" s="59" t="str">
        <f>_xlfn.CONCAT("PS388","-",'Banco de Dados'!F111,"/","PSV5000","-",'Banco de Dados'!G111,"/","FLASH100","-",'Banco de Dados'!H111)</f>
        <v>PS388-B08E6829/PSV5000-/FLASH100-B0A65029</v>
      </c>
    </row>
    <row r="112" spans="1:5" x14ac:dyDescent="0.25">
      <c r="A112" s="1" t="s">
        <v>824</v>
      </c>
      <c r="B112" s="1" t="str">
        <f>'Banco de Dados'!J112</f>
        <v>KPGWY-SPI2-A06</v>
      </c>
      <c r="C112" s="1" t="str">
        <f>'Banco de Dados'!D112</f>
        <v>COUGAR_MLK</v>
      </c>
      <c r="D112" s="1" t="str">
        <f>'Banco de Dados'!L112</f>
        <v>A06(1.3.1)</v>
      </c>
      <c r="E112" s="59" t="str">
        <f>_xlfn.CONCAT("PS388","-",'Banco de Dados'!F112,"/","PSV5000","-",'Banco de Dados'!G112,"/","FLASH100","-",'Banco de Dados'!H112)</f>
        <v>PS388-B08E6829/PSV5000-/FLASH100-B0916529</v>
      </c>
    </row>
    <row r="113" spans="1:5" x14ac:dyDescent="0.25">
      <c r="A113" s="1" t="s">
        <v>822</v>
      </c>
      <c r="B113" s="1" t="str">
        <f>'Banco de Dados'!J113</f>
        <v>KPGWY-SPI2-A06</v>
      </c>
      <c r="C113" s="1" t="str">
        <f>'Banco de Dados'!D113</f>
        <v>COUGAR_MLK</v>
      </c>
      <c r="D113" s="1" t="str">
        <f>'Banco de Dados'!L113</f>
        <v>A06(1.3.1)</v>
      </c>
      <c r="E113" s="59" t="str">
        <f>_xlfn.CONCAT("PS388","-",'Banco de Dados'!F113,"/","PSV5000","-",'Banco de Dados'!G113,"/","FLASH100","-",'Banco de Dados'!H113)</f>
        <v>PS388-B08E6829/PSV5000-/FLASH100-B0906629</v>
      </c>
    </row>
    <row r="114" spans="1:5" x14ac:dyDescent="0.25">
      <c r="A114" s="1" t="s">
        <v>825</v>
      </c>
      <c r="B114" s="1" t="str">
        <f>'Banco de Dados'!J114</f>
        <v>N8FN8-SPI2-A04</v>
      </c>
      <c r="C114" s="1" t="str">
        <f>'Banco de Dados'!D114</f>
        <v>ELK_MLK</v>
      </c>
      <c r="D114" s="1" t="str">
        <f>'Banco de Dados'!L114</f>
        <v>A04(1.1.3)</v>
      </c>
      <c r="E114" s="59" t="str">
        <f>_xlfn.CONCAT("PS388","-",'Banco de Dados'!F114,"/","PSV5000","-",'Banco de Dados'!G114,"/","FLASH100","-",'Banco de Dados'!H114)</f>
        <v>PS388-D15C649E/PSV5000-/FLASH100-8E3C3ADE</v>
      </c>
    </row>
    <row r="115" spans="1:5" x14ac:dyDescent="0.25">
      <c r="A115" s="1" t="s">
        <v>826</v>
      </c>
      <c r="B115" s="1" t="str">
        <f>'Banco de Dados'!J115</f>
        <v>N8FN8-SPI2-A04</v>
      </c>
      <c r="C115" s="1" t="str">
        <f>'Banco de Dados'!D115</f>
        <v>ELK_MLK</v>
      </c>
      <c r="D115" s="1" t="str">
        <f>'Banco de Dados'!L115</f>
        <v>A04(1.1.3)</v>
      </c>
      <c r="E115" s="59" t="str">
        <f>_xlfn.CONCAT("PS388","-",'Banco de Dados'!F115,"/","PSV5000","-",'Banco de Dados'!G115,"/","FLASH100","-",'Banco de Dados'!H115)</f>
        <v>PS388-D15C649E/PSV5000-/FLASH100-8E5224DE</v>
      </c>
    </row>
    <row r="116" spans="1:5" x14ac:dyDescent="0.25">
      <c r="A116" s="1" t="s">
        <v>827</v>
      </c>
      <c r="B116" s="1" t="str">
        <f>'Banco de Dados'!J116</f>
        <v>N8FN8-SPI2-A04</v>
      </c>
      <c r="C116" s="1" t="str">
        <f>'Banco de Dados'!D116</f>
        <v>ELK_MLK</v>
      </c>
      <c r="D116" s="1" t="str">
        <f>'Banco de Dados'!L116</f>
        <v>A04(1.1.3)</v>
      </c>
      <c r="E116" s="59" t="str">
        <f>_xlfn.CONCAT("PS388","-",'Banco de Dados'!F116,"/","PSV5000","-",'Banco de Dados'!G116,"/","FLASH100","-",'Banco de Dados'!H116)</f>
        <v>PS388-D15C649E/PSV5000-/FLASH100-8E3D39DE</v>
      </c>
    </row>
    <row r="117" spans="1:5" x14ac:dyDescent="0.25">
      <c r="A117" s="1" t="s">
        <v>825</v>
      </c>
      <c r="B117" s="1" t="str">
        <f>'Banco de Dados'!J117</f>
        <v>N8FN8-SPI2-A04</v>
      </c>
      <c r="C117" s="1" t="str">
        <f>'Banco de Dados'!D117</f>
        <v>ELK_MLK</v>
      </c>
      <c r="D117" s="1" t="str">
        <f>'Banco de Dados'!L117</f>
        <v>A04(1.1.3)</v>
      </c>
      <c r="E117" s="59" t="str">
        <f>_xlfn.CONCAT("PS388","-",'Banco de Dados'!F117,"/","PSV5000","-",'Banco de Dados'!G117,"/","FLASH100","-",'Banco de Dados'!H117)</f>
        <v>PS388-D15C649E/PSV5000-/FLASH100-8E3C3ADE</v>
      </c>
    </row>
    <row r="118" spans="1:5" x14ac:dyDescent="0.25">
      <c r="A118" s="1" t="s">
        <v>828</v>
      </c>
      <c r="B118" s="1" t="str">
        <f>'Banco de Dados'!J118</f>
        <v>9330H-U2502-A04</v>
      </c>
      <c r="C118" s="1" t="str">
        <f>'Banco de Dados'!D118</f>
        <v>MONGOOSE</v>
      </c>
      <c r="D118" s="1" t="str">
        <f>'Banco de Dados'!L118</f>
        <v>A04 (1.1.2)</v>
      </c>
      <c r="E118" s="59" t="str">
        <f>_xlfn.CONCAT("PS388","-",'Banco de Dados'!F118,"/","PSV5000","-",'Banco de Dados'!G118,"/","FLASH100","-",'Banco de Dados'!H118)</f>
        <v>PS388-D48F1D58/PSV5000-/FLASH100-964BB0A1</v>
      </c>
    </row>
    <row r="119" spans="1:5" x14ac:dyDescent="0.25">
      <c r="A119" s="1" t="s">
        <v>829</v>
      </c>
      <c r="B119" s="1" t="str">
        <f>'Banco de Dados'!J119</f>
        <v>9330H-U2502-A04</v>
      </c>
      <c r="C119" s="1" t="str">
        <f>'Banco de Dados'!D119</f>
        <v>MONGOOSE</v>
      </c>
      <c r="D119" s="1" t="str">
        <f>'Banco de Dados'!L119</f>
        <v>A04 (1.1.2)</v>
      </c>
      <c r="E119" s="59" t="str">
        <f>_xlfn.CONCAT("PS388","-",'Banco de Dados'!F119,"/","PSV5000","-",'Banco de Dados'!G119,"/","FLASH100","-",'Banco de Dados'!H119)</f>
        <v>PS388-D48F1D58/PSV5000-/FLASH100-96619AA1</v>
      </c>
    </row>
    <row r="120" spans="1:5" x14ac:dyDescent="0.25">
      <c r="A120" s="1" t="s">
        <v>830</v>
      </c>
      <c r="B120" s="1" t="str">
        <f>'Banco de Dados'!J120</f>
        <v>9330H-U2502-A04</v>
      </c>
      <c r="C120" s="1" t="str">
        <f>'Banco de Dados'!D120</f>
        <v>MONGOOSE</v>
      </c>
      <c r="D120" s="1" t="str">
        <f>'Banco de Dados'!L120</f>
        <v>A04 (1.1.2)</v>
      </c>
      <c r="E120" s="59" t="str">
        <f>_xlfn.CONCAT("PS388","-",'Banco de Dados'!F120,"/","PSV5000","-",'Banco de Dados'!G120,"/","FLASH100","-",'Banco de Dados'!H120)</f>
        <v>PS388-D48F1D58/PSV5000-/FLASH100-9649F261</v>
      </c>
    </row>
    <row r="121" spans="1:5" x14ac:dyDescent="0.25">
      <c r="A121" s="1" t="s">
        <v>831</v>
      </c>
      <c r="B121" s="1" t="str">
        <f>'Banco de Dados'!J121</f>
        <v>9330H-U2502-A04</v>
      </c>
      <c r="C121" s="1" t="str">
        <f>'Banco de Dados'!D121</f>
        <v>MONGOOSE</v>
      </c>
      <c r="D121" s="1" t="str">
        <f>'Banco de Dados'!L121</f>
        <v>A04 (1.1.2)</v>
      </c>
      <c r="E121" s="59" t="str">
        <f>_xlfn.CONCAT("PS388","-",'Banco de Dados'!F121,"/","PSV5000","-",'Banco de Dados'!G121,"/","FLASH100","-",'Banco de Dados'!H121)</f>
        <v>PS388-D48F1D58/PSV5000-/FLASH100-964CAFA1</v>
      </c>
    </row>
    <row r="122" spans="1:5" x14ac:dyDescent="0.25">
      <c r="A122" s="1" t="s">
        <v>832</v>
      </c>
      <c r="B122" s="1" t="str">
        <f>'Banco de Dados'!J122</f>
        <v>TYPEC-U7202-MGS</v>
      </c>
      <c r="C122" s="1" t="str">
        <f>'Banco de Dados'!D122</f>
        <v>MONGOOSE</v>
      </c>
      <c r="D122" s="1" t="str">
        <f>'Banco de Dados'!L122</f>
        <v>A00 (1.0.1)</v>
      </c>
      <c r="E122" s="59" t="str">
        <f>_xlfn.CONCAT("PS388","-",'Banco de Dados'!F122,"/","PSV5000","-",'Banco de Dados'!G122,"/","FLASH100","-",'Banco de Dados'!H122)</f>
        <v>PS388-00E232FA/PSV5000-/FLASH100-005500BA</v>
      </c>
    </row>
    <row r="123" spans="1:5" x14ac:dyDescent="0.25">
      <c r="A123" s="1" t="s">
        <v>832</v>
      </c>
      <c r="B123" s="1" t="str">
        <f>'Banco de Dados'!J123</f>
        <v>TYPEC-U7202-MGS</v>
      </c>
      <c r="C123" s="1" t="str">
        <f>'Banco de Dados'!D123</f>
        <v>MONGOOSE</v>
      </c>
      <c r="D123" s="1" t="str">
        <f>'Banco de Dados'!L123</f>
        <v>A00 (1.0.1)</v>
      </c>
      <c r="E123" s="59" t="str">
        <f>_xlfn.CONCAT("PS388","-",'Banco de Dados'!F123,"/","PSV5000","-",'Banco de Dados'!G123,"/","FLASH100","-",'Banco de Dados'!H123)</f>
        <v>PS388-00E232FA/PSV5000-/FLASH100-005500BA</v>
      </c>
    </row>
    <row r="124" spans="1:5" x14ac:dyDescent="0.25">
      <c r="A124" s="1" t="s">
        <v>833</v>
      </c>
      <c r="B124" s="1" t="str">
        <f>'Banco de Dados'!J124</f>
        <v>05V1K-U21-A01</v>
      </c>
      <c r="C124" s="1" t="str">
        <f>'Banco de Dados'!D124</f>
        <v>CHEETAH</v>
      </c>
      <c r="D124" s="1" t="str">
        <f>'Banco de Dados'!L124</f>
        <v>A01(1.0.5)</v>
      </c>
      <c r="E124" s="59" t="str">
        <f>_xlfn.CONCAT("PS388","-",'Banco de Dados'!F124,"/","PSV5000","-",'Banco de Dados'!G124,"/","FLASH100","-",'Banco de Dados'!H124)</f>
        <v>PS388-Não Disponível/PSV5000-/FLASH100-9D3B74FB</v>
      </c>
    </row>
    <row r="125" spans="1:5" x14ac:dyDescent="0.25">
      <c r="A125" s="1" t="s">
        <v>834</v>
      </c>
      <c r="B125" s="1" t="str">
        <f>'Banco de Dados'!J125</f>
        <v>05V1K-U21-A01</v>
      </c>
      <c r="C125" s="1" t="str">
        <f>'Banco de Dados'!D125</f>
        <v>CHEETAH</v>
      </c>
      <c r="D125" s="1" t="str">
        <f>'Banco de Dados'!L125</f>
        <v>A01(1.0.5)</v>
      </c>
      <c r="E125" s="59" t="str">
        <f>_xlfn.CONCAT("PS388","-",'Banco de Dados'!F125,"/","PSV5000","-",'Banco de Dados'!G125,"/","FLASH100","-",'Banco de Dados'!H125)</f>
        <v>PS388-9D2689FB/PSV5000-/FLASH100-9D2689FB</v>
      </c>
    </row>
    <row r="126" spans="1:5" x14ac:dyDescent="0.25">
      <c r="A126" s="1" t="s">
        <v>835</v>
      </c>
      <c r="B126" s="1" t="str">
        <f>'Banco de Dados'!J126</f>
        <v>05V1K-U21-A01</v>
      </c>
      <c r="C126" s="1" t="str">
        <f>'Banco de Dados'!D126</f>
        <v>CHEETAH</v>
      </c>
      <c r="D126" s="1" t="str">
        <f>'Banco de Dados'!L126</f>
        <v>A01(1.0.5)</v>
      </c>
      <c r="E126" s="59" t="str">
        <f>_xlfn.CONCAT("PS388","-",'Banco de Dados'!F126,"/","PSV5000","-",'Banco de Dados'!G126,"/","FLASH100","-",'Banco de Dados'!H126)</f>
        <v>PS388-9D238CFB/PSV5000-/FLASH100-9D258AFB</v>
      </c>
    </row>
    <row r="127" spans="1:5" x14ac:dyDescent="0.25">
      <c r="A127" s="1" t="s">
        <v>833</v>
      </c>
      <c r="B127" s="1" t="str">
        <f>'Banco de Dados'!J127</f>
        <v>05V1K-U21-A01</v>
      </c>
      <c r="C127" s="1" t="str">
        <f>'Banco de Dados'!D127</f>
        <v>CHEETAH</v>
      </c>
      <c r="D127" s="1" t="str">
        <f>'Banco de Dados'!L127</f>
        <v>A01(1.0.5)</v>
      </c>
      <c r="E127" s="59" t="str">
        <f>_xlfn.CONCAT("PS388","-",'Banco de Dados'!F127,"/","PSV5000","-",'Banco de Dados'!G127,"/","FLASH100","-",'Banco de Dados'!H127)</f>
        <v>PS388-Não Disponível/PSV5000-/FLASH100-9D3B74FB</v>
      </c>
    </row>
    <row r="128" spans="1:5" x14ac:dyDescent="0.25">
      <c r="A128" s="1" t="s">
        <v>834</v>
      </c>
      <c r="B128" s="1" t="str">
        <f>'Banco de Dados'!J128</f>
        <v>05V1K-U21-A01</v>
      </c>
      <c r="C128" s="1" t="str">
        <f>'Banco de Dados'!D128</f>
        <v>CHEETAH</v>
      </c>
      <c r="D128" s="1" t="str">
        <f>'Banco de Dados'!L128</f>
        <v>A01(1.0.5)</v>
      </c>
      <c r="E128" s="59" t="str">
        <f>_xlfn.CONCAT("PS388","-",'Banco de Dados'!F128,"/","PSV5000","-",'Banco de Dados'!G128,"/","FLASH100","-",'Banco de Dados'!H128)</f>
        <v>PS388-9D2689FB/PSV5000-/FLASH100-9D2689FB</v>
      </c>
    </row>
    <row r="129" spans="1:5" x14ac:dyDescent="0.25">
      <c r="A129" s="1" t="s">
        <v>835</v>
      </c>
      <c r="B129" s="1" t="str">
        <f>'Banco de Dados'!J129</f>
        <v>05V1K-U21-A01</v>
      </c>
      <c r="C129" s="1" t="str">
        <f>'Banco de Dados'!D129</f>
        <v>CHEETAH</v>
      </c>
      <c r="D129" s="1" t="str">
        <f>'Banco de Dados'!L129</f>
        <v>A01(1.0.5)</v>
      </c>
      <c r="E129" s="59" t="str">
        <f>_xlfn.CONCAT("PS388","-",'Banco de Dados'!F129,"/","PSV5000","-",'Banco de Dados'!G129,"/","FLASH100","-",'Banco de Dados'!H129)</f>
        <v>PS388-9D238CFB/PSV5000-/FLASH100-9D258AFB</v>
      </c>
    </row>
    <row r="130" spans="1:5" x14ac:dyDescent="0.25">
      <c r="A130" s="1" t="s">
        <v>833</v>
      </c>
      <c r="B130" s="1" t="str">
        <f>'Banco de Dados'!J130</f>
        <v>05V1K-U2502-A01</v>
      </c>
      <c r="C130" s="1" t="str">
        <f>'Banco de Dados'!D130</f>
        <v>CHEETAH</v>
      </c>
      <c r="D130" s="1" t="str">
        <f>'Banco de Dados'!L130</f>
        <v>A01(1.0.5)</v>
      </c>
      <c r="E130" s="59" t="str">
        <f>_xlfn.CONCAT("PS388","-",'Banco de Dados'!F130,"/","PSV5000","-",'Banco de Dados'!G130,"/","FLASH100","-",'Banco de Dados'!H130)</f>
        <v>PS388-Não Disponível/PSV5000-/FLASH100-9D3B74FB</v>
      </c>
    </row>
    <row r="131" spans="1:5" x14ac:dyDescent="0.25">
      <c r="A131" s="1" t="s">
        <v>834</v>
      </c>
      <c r="B131" s="1" t="str">
        <f>'Banco de Dados'!J131</f>
        <v>05V1K-U21-A01</v>
      </c>
      <c r="C131" s="1" t="str">
        <f>'Banco de Dados'!D131</f>
        <v>CHEETAH</v>
      </c>
      <c r="D131" s="1" t="str">
        <f>'Banco de Dados'!L131</f>
        <v>A01(1.0.5)</v>
      </c>
      <c r="E131" s="59" t="str">
        <f>_xlfn.CONCAT("PS388","-",'Banco de Dados'!F131,"/","PSV5000","-",'Banco de Dados'!G131,"/","FLASH100","-",'Banco de Dados'!H131)</f>
        <v>PS388-9D2689FB/PSV5000-/FLASH100-9D2689FB</v>
      </c>
    </row>
    <row r="132" spans="1:5" x14ac:dyDescent="0.25">
      <c r="A132" s="1" t="s">
        <v>835</v>
      </c>
      <c r="B132" s="1" t="str">
        <f>'Banco de Dados'!J132</f>
        <v>05V1K-U21-A01</v>
      </c>
      <c r="C132" s="1" t="str">
        <f>'Banco de Dados'!D132</f>
        <v>CHEETAH</v>
      </c>
      <c r="D132" s="1" t="str">
        <f>'Banco de Dados'!L132</f>
        <v>A01(1.0.5)</v>
      </c>
      <c r="E132" s="59" t="str">
        <f>_xlfn.CONCAT("PS388","-",'Banco de Dados'!F132,"/","PSV5000","-",'Banco de Dados'!G132,"/","FLASH100","-",'Banco de Dados'!H132)</f>
        <v>PS388-9D238CFB/PSV5000-/FLASH100-9D258AFB</v>
      </c>
    </row>
    <row r="133" spans="1:5" x14ac:dyDescent="0.25">
      <c r="A133" s="1" t="s">
        <v>833</v>
      </c>
      <c r="B133" s="1" t="str">
        <f>'Banco de Dados'!J133</f>
        <v>05V1K-U2502-A01</v>
      </c>
      <c r="C133" s="1" t="str">
        <f>'Banco de Dados'!D133</f>
        <v>CHEETAH</v>
      </c>
      <c r="D133" s="1" t="str">
        <f>'Banco de Dados'!L133</f>
        <v>A01(1.0.5)</v>
      </c>
      <c r="E133" s="59" t="str">
        <f>_xlfn.CONCAT("PS388","-",'Banco de Dados'!F133,"/","PSV5000","-",'Banco de Dados'!G133,"/","FLASH100","-",'Banco de Dados'!H133)</f>
        <v>PS388-Não Disponível/PSV5000-/FLASH100-9D3B74FB</v>
      </c>
    </row>
    <row r="134" spans="1:5" x14ac:dyDescent="0.25">
      <c r="A134" s="1" t="s">
        <v>834</v>
      </c>
      <c r="B134" s="1" t="str">
        <f>'Banco de Dados'!J134</f>
        <v>05V1K-U21-A01</v>
      </c>
      <c r="C134" s="1" t="str">
        <f>'Banco de Dados'!D134</f>
        <v>CHEETAH</v>
      </c>
      <c r="D134" s="1" t="str">
        <f>'Banco de Dados'!L134</f>
        <v>A01(1.0.5)</v>
      </c>
      <c r="E134" s="59" t="str">
        <f>_xlfn.CONCAT("PS388","-",'Banco de Dados'!F134,"/","PSV5000","-",'Banco de Dados'!G134,"/","FLASH100","-",'Banco de Dados'!H134)</f>
        <v>PS388-9D2689FB/PSV5000-/FLASH100-9D2689FB</v>
      </c>
    </row>
    <row r="135" spans="1:5" x14ac:dyDescent="0.25">
      <c r="A135" s="1" t="s">
        <v>835</v>
      </c>
      <c r="B135" s="1" t="str">
        <f>'Banco de Dados'!J135</f>
        <v>05V1K-U21-A01</v>
      </c>
      <c r="C135" s="1" t="str">
        <f>'Banco de Dados'!D135</f>
        <v>CHEETAH</v>
      </c>
      <c r="D135" s="1" t="str">
        <f>'Banco de Dados'!L135</f>
        <v>A01(1.0.5)</v>
      </c>
      <c r="E135" s="59" t="str">
        <f>_xlfn.CONCAT("PS388","-",'Banco de Dados'!F135,"/","PSV5000","-",'Banco de Dados'!G135,"/","FLASH100","-",'Banco de Dados'!H135)</f>
        <v>PS388-9D238CFB/PSV5000-/FLASH100-9D258AFB</v>
      </c>
    </row>
    <row r="136" spans="1:5" x14ac:dyDescent="0.25">
      <c r="A136" s="1" t="s">
        <v>886</v>
      </c>
      <c r="B136" s="1" t="str">
        <f>'Banco de Dados'!J136</f>
        <v>D8PVF-U21-A02</v>
      </c>
      <c r="C136" s="1" t="str">
        <f>'Banco de Dados'!D136</f>
        <v>RHINO</v>
      </c>
      <c r="D136" s="1" t="str">
        <f>'Banco de Dados'!L136</f>
        <v>A02(1.0.7)</v>
      </c>
      <c r="E136" s="59" t="str">
        <f>_xlfn.CONCAT("PS388","-",'Banco de Dados'!F136,"/","PSV5000","-",'Banco de Dados'!G136,"/","FLASH100","-",'Banco de Dados'!H136)</f>
        <v>PS388-Não Disponível/PSV5000-Não Disponível/FLASH100-Não Disponível</v>
      </c>
    </row>
    <row r="137" spans="1:5" x14ac:dyDescent="0.25">
      <c r="A137" s="1" t="s">
        <v>887</v>
      </c>
      <c r="B137" s="1" t="str">
        <f>'Banco de Dados'!J137</f>
        <v>D8PVF-U21-A02</v>
      </c>
      <c r="C137" s="1" t="str">
        <f>'Banco de Dados'!D137</f>
        <v>RHINO</v>
      </c>
      <c r="D137" s="1" t="str">
        <f>'Banco de Dados'!L137</f>
        <v>A02(1.0.7)</v>
      </c>
      <c r="E137" s="59" t="str">
        <f>_xlfn.CONCAT("PS388","-",'Banco de Dados'!F137,"/","PSV5000","-",'Banco de Dados'!G137,"/","FLASH100","-",'Banco de Dados'!H137)</f>
        <v>PS388-78A428A7/PSV5000-/FLASH100-78A428A7</v>
      </c>
    </row>
    <row r="138" spans="1:5" x14ac:dyDescent="0.25">
      <c r="A138" s="1" t="s">
        <v>888</v>
      </c>
      <c r="B138" s="1" t="str">
        <f>'Banco de Dados'!J138</f>
        <v>D8PVF-U21-A02</v>
      </c>
      <c r="C138" s="1" t="str">
        <f>'Banco de Dados'!D138</f>
        <v>RHINO</v>
      </c>
      <c r="D138" s="1" t="str">
        <f>'Banco de Dados'!L138</f>
        <v>A02(1.0.7)</v>
      </c>
      <c r="E138" s="59" t="str">
        <f>_xlfn.CONCAT("PS388","-",'Banco de Dados'!F138,"/","PSV5000","-",'Banco de Dados'!G138,"/","FLASH100","-",'Banco de Dados'!H138)</f>
        <v>PS388-78A12BA7/PSV5000-/FLASH100-78A329A7</v>
      </c>
    </row>
    <row r="139" spans="1:5" x14ac:dyDescent="0.25">
      <c r="A139" s="1" t="s">
        <v>886</v>
      </c>
      <c r="B139" s="1" t="str">
        <f>'Banco de Dados'!J139</f>
        <v>D8PVF-U21-A02</v>
      </c>
      <c r="C139" s="1" t="str">
        <f>'Banco de Dados'!D139</f>
        <v>RHINO</v>
      </c>
      <c r="D139" s="1" t="str">
        <f>'Banco de Dados'!L139</f>
        <v>A02(1.0.7)</v>
      </c>
      <c r="E139" s="59" t="str">
        <f>_xlfn.CONCAT("PS388","-",'Banco de Dados'!F139,"/","PSV5000","-",'Banco de Dados'!G139,"/","FLASH100","-",'Banco de Dados'!H139)</f>
        <v>PS388-Não Disponível/PSV5000-Não Disponível/FLASH100-Não Disponível</v>
      </c>
    </row>
    <row r="140" spans="1:5" x14ac:dyDescent="0.25">
      <c r="A140" s="1" t="s">
        <v>887</v>
      </c>
      <c r="B140" s="1" t="str">
        <f>'Banco de Dados'!J140</f>
        <v>D8PVF-U21-A02</v>
      </c>
      <c r="C140" s="1" t="str">
        <f>'Banco de Dados'!D140</f>
        <v>RHINO</v>
      </c>
      <c r="D140" s="1" t="str">
        <f>'Banco de Dados'!L140</f>
        <v>A02(1.0.7)</v>
      </c>
      <c r="E140" s="59" t="str">
        <f>_xlfn.CONCAT("PS388","-",'Banco de Dados'!F140,"/","PSV5000","-",'Banco de Dados'!G140,"/","FLASH100","-",'Banco de Dados'!H140)</f>
        <v>PS388-78A428A7/PSV5000-/FLASH100-78A428A7</v>
      </c>
    </row>
    <row r="141" spans="1:5" x14ac:dyDescent="0.25">
      <c r="A141" s="1" t="s">
        <v>888</v>
      </c>
      <c r="B141" s="1" t="str">
        <f>'Banco de Dados'!J141</f>
        <v>D8PVF-U21-A02</v>
      </c>
      <c r="C141" s="1" t="str">
        <f>'Banco de Dados'!D141</f>
        <v>RHINO</v>
      </c>
      <c r="D141" s="1" t="str">
        <f>'Banco de Dados'!L141</f>
        <v>A02(1.0.7)</v>
      </c>
      <c r="E141" s="59" t="str">
        <f>_xlfn.CONCAT("PS388","-",'Banco de Dados'!F141,"/","PSV5000","-",'Banco de Dados'!G141,"/","FLASH100","-",'Banco de Dados'!H141)</f>
        <v>PS388-78A12BA7/PSV5000-/FLASH100-78A329A7</v>
      </c>
    </row>
    <row r="142" spans="1:5" x14ac:dyDescent="0.25">
      <c r="A142" s="1" t="s">
        <v>886</v>
      </c>
      <c r="B142" s="1" t="str">
        <f>'Banco de Dados'!J142</f>
        <v>D8PVF-U2502-A02</v>
      </c>
      <c r="C142" s="1" t="str">
        <f>'Banco de Dados'!D142</f>
        <v>RHINO</v>
      </c>
      <c r="D142" s="1" t="str">
        <f>'Banco de Dados'!L142</f>
        <v>A02(1.0.7)</v>
      </c>
      <c r="E142" s="59" t="str">
        <f>_xlfn.CONCAT("PS388","-",'Banco de Dados'!F142,"/","PSV5000","-",'Banco de Dados'!G142,"/","FLASH100","-",'Banco de Dados'!H142)</f>
        <v>PS388-Não Disponível/PSV5000-Não Disponível/FLASH100-Não Disponível</v>
      </c>
    </row>
    <row r="143" spans="1:5" x14ac:dyDescent="0.25">
      <c r="A143" s="1" t="s">
        <v>887</v>
      </c>
      <c r="B143" s="1" t="str">
        <f>'Banco de Dados'!J143</f>
        <v>D8PVF-U2502-A02</v>
      </c>
      <c r="C143" s="1" t="str">
        <f>'Banco de Dados'!D143</f>
        <v>RHINO</v>
      </c>
      <c r="D143" s="1" t="str">
        <f>'Banco de Dados'!L143</f>
        <v>A02(1.0.7)</v>
      </c>
      <c r="E143" s="59" t="str">
        <f>_xlfn.CONCAT("PS388","-",'Banco de Dados'!F143,"/","PSV5000","-",'Banco de Dados'!G143,"/","FLASH100","-",'Banco de Dados'!H143)</f>
        <v>PS388-78A428A7/PSV5000-/FLASH100-78A428A7</v>
      </c>
    </row>
    <row r="144" spans="1:5" x14ac:dyDescent="0.25">
      <c r="A144" s="1" t="s">
        <v>888</v>
      </c>
      <c r="B144" s="1" t="str">
        <f>'Banco de Dados'!J144</f>
        <v>D8PVF-U2502-A02</v>
      </c>
      <c r="C144" s="1" t="str">
        <f>'Banco de Dados'!D144</f>
        <v>RHINO</v>
      </c>
      <c r="D144" s="1" t="str">
        <f>'Banco de Dados'!L144</f>
        <v>A02(1.0.7)</v>
      </c>
      <c r="E144" s="59" t="str">
        <f>_xlfn.CONCAT("PS388","-",'Banco de Dados'!F144,"/","PSV5000","-",'Banco de Dados'!G144,"/","FLASH100","-",'Banco de Dados'!H144)</f>
        <v>PS388-78A12BA7/PSV5000-/FLASH100-78A329A7</v>
      </c>
    </row>
    <row r="145" spans="1:5" x14ac:dyDescent="0.25">
      <c r="A145" s="1" t="s">
        <v>886</v>
      </c>
      <c r="B145" s="1" t="str">
        <f>'Banco de Dados'!J145</f>
        <v>D8PVF-U2502-A02</v>
      </c>
      <c r="C145" s="1" t="str">
        <f>'Banco de Dados'!D145</f>
        <v>RHINO</v>
      </c>
      <c r="D145" s="1" t="str">
        <f>'Banco de Dados'!L145</f>
        <v>A02(1.0.7)</v>
      </c>
      <c r="E145" s="59" t="str">
        <f>_xlfn.CONCAT("PS388","-",'Banco de Dados'!F145,"/","PSV5000","-",'Banco de Dados'!G145,"/","FLASH100","-",'Banco de Dados'!H145)</f>
        <v>PS388-Não Disponível/PSV5000-Não Disponível/FLASH100-Não Disponível</v>
      </c>
    </row>
    <row r="146" spans="1:5" x14ac:dyDescent="0.25">
      <c r="A146" s="1" t="s">
        <v>887</v>
      </c>
      <c r="B146" s="1" t="str">
        <f>'Banco de Dados'!J146</f>
        <v>D8PVF-U2502-A02</v>
      </c>
      <c r="C146" s="1" t="str">
        <f>'Banco de Dados'!D146</f>
        <v>RHINO</v>
      </c>
      <c r="D146" s="1" t="str">
        <f>'Banco de Dados'!L146</f>
        <v>A02(1.0.7)</v>
      </c>
      <c r="E146" s="59" t="str">
        <f>_xlfn.CONCAT("PS388","-",'Banco de Dados'!F146,"/","PSV5000","-",'Banco de Dados'!G146,"/","FLASH100","-",'Banco de Dados'!H146)</f>
        <v>PS388-78A428A7/PSV5000-/FLASH100-78A428A7</v>
      </c>
    </row>
    <row r="147" spans="1:5" x14ac:dyDescent="0.25">
      <c r="A147" s="1" t="s">
        <v>888</v>
      </c>
      <c r="B147" s="1" t="str">
        <f>'Banco de Dados'!J147</f>
        <v>D8PVF-U2502-A02</v>
      </c>
      <c r="C147" s="1" t="str">
        <f>'Banco de Dados'!D147</f>
        <v>RHINO</v>
      </c>
      <c r="D147" s="1" t="str">
        <f>'Banco de Dados'!L147</f>
        <v>A02(1.0.7)</v>
      </c>
      <c r="E147" s="59" t="str">
        <f>_xlfn.CONCAT("PS388","-",'Banco de Dados'!F147,"/","PSV5000","-",'Banco de Dados'!G147,"/","FLASH100","-",'Banco de Dados'!H147)</f>
        <v>PS388-78A12BA7/PSV5000-/FLASH100-78A329A7</v>
      </c>
    </row>
    <row r="148" spans="1:5" x14ac:dyDescent="0.25">
      <c r="A148" s="1" t="s">
        <v>836</v>
      </c>
      <c r="B148" s="1" t="str">
        <f>'Banco de Dados'!J148</f>
        <v>4J25N-U2502-A01</v>
      </c>
      <c r="C148" s="1" t="str">
        <f>'Banco de Dados'!D148</f>
        <v>ZEBRA</v>
      </c>
      <c r="D148" s="1" t="str">
        <f>'Banco de Dados'!L148</f>
        <v>A01(1.0.3)</v>
      </c>
      <c r="E148" s="59" t="str">
        <f>_xlfn.CONCAT("PS388","-",'Banco de Dados'!F148,"/","PSV5000","-",'Banco de Dados'!G148,"/","FLASH100","-",'Banco de Dados'!H148)</f>
        <v>PS388-Não Disponível/PSV5000-/FLASH100-793CB01B</v>
      </c>
    </row>
    <row r="149" spans="1:5" x14ac:dyDescent="0.25">
      <c r="A149" s="1" t="s">
        <v>837</v>
      </c>
      <c r="B149" s="1" t="str">
        <f>'Banco de Dados'!J149</f>
        <v>4J25N-U2502-A01</v>
      </c>
      <c r="C149" s="1" t="str">
        <f>'Banco de Dados'!D149</f>
        <v>ZEBRA</v>
      </c>
      <c r="D149" s="1" t="str">
        <f>'Banco de Dados'!L149</f>
        <v>A01(1.0.3)</v>
      </c>
      <c r="E149" s="59" t="str">
        <f>_xlfn.CONCAT("PS388","-",'Banco de Dados'!F149,"/","PSV5000","-",'Banco de Dados'!G149,"/","FLASH100","-",'Banco de Dados'!H149)</f>
        <v>PS388-7924C81B/PSV5000-/FLASH100-7927C51B</v>
      </c>
    </row>
    <row r="150" spans="1:5" x14ac:dyDescent="0.25">
      <c r="A150" s="1" t="s">
        <v>838</v>
      </c>
      <c r="B150" s="1" t="str">
        <f>'Banco de Dados'!J150</f>
        <v>4J25N-U2502-A01</v>
      </c>
      <c r="C150" s="1" t="str">
        <f>'Banco de Dados'!D150</f>
        <v>ZEBRA</v>
      </c>
      <c r="D150" s="1" t="str">
        <f>'Banco de Dados'!L150</f>
        <v>A01(1.0.3)</v>
      </c>
      <c r="E150" s="59" t="str">
        <f>_xlfn.CONCAT("PS388","-",'Banco de Dados'!F150,"/","PSV5000","-",'Banco de Dados'!G150,"/","FLASH100","-",'Banco de Dados'!H150)</f>
        <v>PS388-7927C51B/PSV5000-/FLASH100-7926C61B</v>
      </c>
    </row>
    <row r="151" spans="1:5" x14ac:dyDescent="0.25">
      <c r="A151" s="1" t="s">
        <v>839</v>
      </c>
      <c r="B151" s="1" t="str">
        <f>'Banco de Dados'!J151</f>
        <v>KPGWY-SPI2-A01</v>
      </c>
      <c r="C151" s="1" t="str">
        <f>'Banco de Dados'!D151</f>
        <v>BUTEO</v>
      </c>
      <c r="D151" s="1" t="str">
        <f>'Banco de Dados'!L151</f>
        <v>A01(1.1.3)</v>
      </c>
      <c r="E151" s="59" t="str">
        <f>_xlfn.CONCAT("PS388","-",'Banco de Dados'!F151,"/","PSV5000","-",'Banco de Dados'!G151,"/","FLASH100","-",'Banco de Dados'!H151)</f>
        <v>PS388-Não Disponível/PSV5000-/FLASH100-9C718C10</v>
      </c>
    </row>
    <row r="152" spans="1:5" x14ac:dyDescent="0.25">
      <c r="A152" s="1" t="s">
        <v>840</v>
      </c>
      <c r="B152" s="1" t="str">
        <f>'Banco de Dados'!J152</f>
        <v>KPGWY-SPI2-A01</v>
      </c>
      <c r="C152" s="1" t="str">
        <f>'Banco de Dados'!D152</f>
        <v>BUTEO</v>
      </c>
      <c r="D152" s="1" t="str">
        <f>'Banco de Dados'!L152</f>
        <v>A01(1.1.3)</v>
      </c>
      <c r="E152" s="59" t="str">
        <f>_xlfn.CONCAT("PS388","-",'Banco de Dados'!F152,"/","PSV5000","-",'Banco de Dados'!G152,"/","FLASH100","-",'Banco de Dados'!H152)</f>
        <v>PS388-9C5CA110/PSV5000-/FLASH100-9C5CA110</v>
      </c>
    </row>
    <row r="153" spans="1:5" x14ac:dyDescent="0.25">
      <c r="A153" s="1" t="s">
        <v>841</v>
      </c>
      <c r="B153" s="1" t="str">
        <f>'Banco de Dados'!J153</f>
        <v>KPGWY-SPI2-A01</v>
      </c>
      <c r="C153" s="1" t="str">
        <f>'Banco de Dados'!D153</f>
        <v>BUTEO</v>
      </c>
      <c r="D153" s="1" t="str">
        <f>'Banco de Dados'!L153</f>
        <v>A01(1.1.3)</v>
      </c>
      <c r="E153" s="59" t="str">
        <f>_xlfn.CONCAT("PS388","-",'Banco de Dados'!F153,"/","PSV5000","-",'Banco de Dados'!G153,"/","FLASH100","-",'Banco de Dados'!H153)</f>
        <v>PS388-9C59A410/PSV5000-/FLASH100-9C5BA210</v>
      </c>
    </row>
    <row r="154" spans="1:5" x14ac:dyDescent="0.25">
      <c r="A154" s="1" t="s">
        <v>842</v>
      </c>
      <c r="B154" s="1" t="str">
        <f>'Banco de Dados'!J154</f>
        <v>C0D2C-CPLD-A00</v>
      </c>
      <c r="C154" s="1" t="str">
        <f>'Banco de Dados'!D154</f>
        <v>BLUEMOON</v>
      </c>
      <c r="D154" s="1" t="str">
        <f>'Banco de Dados'!L154</f>
        <v>A00</v>
      </c>
      <c r="E154" s="59" t="str">
        <f>_xlfn.CONCAT("PS388","-",'Banco de Dados'!F154,"/","PSV5000","-",'Banco de Dados'!G154,"/","FLASH100","-",'Banco de Dados'!H154)</f>
        <v>PS388-Não Disponível/PSV5000-/FLASH100-000BBBF0</v>
      </c>
    </row>
    <row r="155" spans="1:5" x14ac:dyDescent="0.25">
      <c r="A155" s="1" t="s">
        <v>818</v>
      </c>
      <c r="B155" s="1" t="str">
        <f>'Banco de Dados'!J155</f>
        <v>C0D2C-FLASH-A00</v>
      </c>
      <c r="C155" s="1" t="str">
        <f>'Banco de Dados'!D155</f>
        <v>BLUEMOON</v>
      </c>
      <c r="D155" s="1" t="str">
        <f>'Banco de Dados'!L155</f>
        <v>A00</v>
      </c>
      <c r="E155" s="59" t="str">
        <f>_xlfn.CONCAT("PS388","-",'Banco de Dados'!F155,"/","PSV5000","-",'Banco de Dados'!G155,"/","FLASH100","-",'Banco de Dados'!H155)</f>
        <v>PS388-Não Disponível/PSV5000-/FLASH100-Não Disponível</v>
      </c>
    </row>
    <row r="156" spans="1:5" x14ac:dyDescent="0.25">
      <c r="A156" s="1" t="s">
        <v>843</v>
      </c>
      <c r="B156" s="1" t="str">
        <f>'Banco de Dados'!J156</f>
        <v>C0D2C-FLASH-A00</v>
      </c>
      <c r="C156" s="1" t="str">
        <f>'Banco de Dados'!D156</f>
        <v>BLUEMOON</v>
      </c>
      <c r="D156" s="1" t="str">
        <f>'Banco de Dados'!L156</f>
        <v>A00</v>
      </c>
      <c r="E156" s="59" t="str">
        <f>_xlfn.CONCAT("PS388","-",'Banco de Dados'!F156,"/","PSV5000","-",'Banco de Dados'!G156,"/","FLASH100","-",'Banco de Dados'!H156)</f>
        <v>PS388-Não Disponível/PSV5000-/FLASH100-E64C0378</v>
      </c>
    </row>
    <row r="157" spans="1:5" x14ac:dyDescent="0.25">
      <c r="A157" s="1" t="s">
        <v>818</v>
      </c>
      <c r="B157" s="1" t="str">
        <f>'Banco de Dados'!J157</f>
        <v>4DCV0-FLASH-A00</v>
      </c>
      <c r="C157" s="1" t="str">
        <f>'Banco de Dados'!D157</f>
        <v>BLUEMOON</v>
      </c>
      <c r="D157" s="1" t="str">
        <f>'Banco de Dados'!L157</f>
        <v>A00</v>
      </c>
      <c r="E157" s="59" t="str">
        <f>_xlfn.CONCAT("PS388","-",'Banco de Dados'!F157,"/","PSV5000","-",'Banco de Dados'!G157,"/","FLASH100","-",'Banco de Dados'!H157)</f>
        <v>PS388-Não Disponível/PSV5000-/FLASH100-Não Disponível</v>
      </c>
    </row>
    <row r="158" spans="1:5" x14ac:dyDescent="0.25">
      <c r="A158" s="1" t="s">
        <v>818</v>
      </c>
      <c r="B158" s="1" t="str">
        <f>'Banco de Dados'!J158</f>
        <v>4DCV0-FLASH-A00</v>
      </c>
      <c r="C158" s="1" t="str">
        <f>'Banco de Dados'!D158</f>
        <v>BLUEMOON</v>
      </c>
      <c r="D158" s="1" t="str">
        <f>'Banco de Dados'!L158</f>
        <v>A00</v>
      </c>
      <c r="E158" s="59" t="str">
        <f>_xlfn.CONCAT("PS388","-",'Banco de Dados'!F158,"/","PSV5000","-",'Banco de Dados'!G158,"/","FLASH100","-",'Banco de Dados'!H158)</f>
        <v>PS388-Não Disponível/PSV5000-/FLASH100-Não Disponível</v>
      </c>
    </row>
    <row r="159" spans="1:5" x14ac:dyDescent="0.25">
      <c r="A159" s="1" t="s">
        <v>844</v>
      </c>
      <c r="B159" s="1" t="str">
        <f>'Banco de Dados'!J159</f>
        <v>4DCV0-FLASH-A00</v>
      </c>
      <c r="C159" s="1" t="str">
        <f>'Banco de Dados'!D159</f>
        <v>BLUEMOON</v>
      </c>
      <c r="D159" s="1" t="str">
        <f>'Banco de Dados'!L159</f>
        <v>A00</v>
      </c>
      <c r="E159" s="59" t="str">
        <f>_xlfn.CONCAT("PS388","-",'Banco de Dados'!F159,"/","PSV5000","-",'Banco de Dados'!G159,"/","FLASH100","-",'Banco de Dados'!H159)</f>
        <v>PS388-Não Disponível/PSV5000-/FLASH100-E63C44C8</v>
      </c>
    </row>
    <row r="160" spans="1:5" x14ac:dyDescent="0.25">
      <c r="A160" s="1" t="s">
        <v>845</v>
      </c>
      <c r="B160" s="1" t="str">
        <f>'Banco de Dados'!J160</f>
        <v>56PH9-SPI1-A15</v>
      </c>
      <c r="C160" s="1" t="str">
        <f>'Banco de Dados'!D160</f>
        <v>FARALLON</v>
      </c>
      <c r="D160" s="1" t="str">
        <f>'Banco de Dados'!L160</f>
        <v>A15 (2.10.2)</v>
      </c>
      <c r="E160" s="59" t="str">
        <f>_xlfn.CONCAT("PS388","-",'Banco de Dados'!F160,"/","PSV5000","-",'Banco de Dados'!G160,"/","FLASH100","-",'Banco de Dados'!H160)</f>
        <v>PS388-B1EF739D/PSV5000-/FLASH100-B1EFB35D</v>
      </c>
    </row>
    <row r="161" spans="1:5" x14ac:dyDescent="0.25">
      <c r="A161" s="1" t="s">
        <v>846</v>
      </c>
      <c r="B161" s="1" t="str">
        <f>'Banco de Dados'!J161</f>
        <v>56PH9-SPI1-A15</v>
      </c>
      <c r="C161" s="1" t="str">
        <f>'Banco de Dados'!D161</f>
        <v>FARALLON</v>
      </c>
      <c r="D161" s="1" t="str">
        <f>'Banco de Dados'!L161</f>
        <v>A15 (2.10.2)</v>
      </c>
      <c r="E161" s="59" t="str">
        <f>_xlfn.CONCAT("PS388","-",'Banco de Dados'!F161,"/","PSV5000","-",'Banco de Dados'!G161,"/","FLASH100","-",'Banco de Dados'!H161)</f>
        <v>PS388-B1EF739D/PSV5000-/FLASH100-B1F1719D</v>
      </c>
    </row>
    <row r="162" spans="1:5" x14ac:dyDescent="0.25">
      <c r="A162" s="1" t="s">
        <v>847</v>
      </c>
      <c r="B162" s="1" t="str">
        <f>'Banco de Dados'!J162</f>
        <v>56PH9-SPI1-A15</v>
      </c>
      <c r="C162" s="1" t="str">
        <f>'Banco de Dados'!D162</f>
        <v>FARALLON</v>
      </c>
      <c r="D162" s="1" t="str">
        <f>'Banco de Dados'!L162</f>
        <v>A15 (2.10.2)</v>
      </c>
      <c r="E162" s="59" t="str">
        <f>_xlfn.CONCAT("PS388","-",'Banco de Dados'!F162,"/","PSV5000","-",'Banco de Dados'!G162,"/","FLASH100","-",'Banco de Dados'!H162)</f>
        <v>PS388-B1EF739D/PSV5000-/FLASH100-B1F2709D</v>
      </c>
    </row>
    <row r="163" spans="1:5" x14ac:dyDescent="0.25">
      <c r="A163" s="1" t="s">
        <v>818</v>
      </c>
      <c r="B163" s="1" t="str">
        <f>'Banco de Dados'!J163</f>
        <v>OUGA13-U11-A00</v>
      </c>
      <c r="C163" s="1" t="str">
        <f>'Banco de Dados'!D163</f>
        <v>OUGA</v>
      </c>
      <c r="D163" s="1" t="str">
        <f>'Banco de Dados'!L163</f>
        <v>A00</v>
      </c>
      <c r="E163" s="59" t="str">
        <f>_xlfn.CONCAT("PS388","-",'Banco de Dados'!F163,"/","PSV5000","-",'Banco de Dados'!G163,"/","FLASH100","-",'Banco de Dados'!H163)</f>
        <v>PS388-Não Disponível/PSV5000-/FLASH100-Não Disponível</v>
      </c>
    </row>
    <row r="164" spans="1:5" x14ac:dyDescent="0.25">
      <c r="A164" s="1" t="s">
        <v>848</v>
      </c>
      <c r="B164" s="1" t="str">
        <f>'Banco de Dados'!J164</f>
        <v>OUGA13-U11-A00</v>
      </c>
      <c r="C164" s="1" t="str">
        <f>'Banco de Dados'!D164</f>
        <v>OUGA</v>
      </c>
      <c r="D164" s="1" t="str">
        <f>'Banco de Dados'!L164</f>
        <v>A00</v>
      </c>
      <c r="E164" s="59" t="str">
        <f>_xlfn.CONCAT("PS388","-",'Banco de Dados'!F164,"/","PSV5000","-",'Banco de Dados'!G164,"/","FLASH100","-",'Banco de Dados'!H164)</f>
        <v>PS388-00E171F2/PSV5000-/FLASH100-00E171F2</v>
      </c>
    </row>
    <row r="165" spans="1:5" x14ac:dyDescent="0.25">
      <c r="A165" s="1" t="s">
        <v>818</v>
      </c>
      <c r="B165" s="1" t="str">
        <f>'Banco de Dados'!J165</f>
        <v>OUGA13-U11-A00</v>
      </c>
      <c r="C165" s="1" t="str">
        <f>'Banco de Dados'!D165</f>
        <v>OUGA</v>
      </c>
      <c r="D165" s="1" t="str">
        <f>'Banco de Dados'!L165</f>
        <v>A00</v>
      </c>
      <c r="E165" s="59" t="str">
        <f>_xlfn.CONCAT("PS388","-",'Banco de Dados'!F165,"/","PSV5000","-",'Banco de Dados'!G165,"/","FLASH100","-",'Banco de Dados'!H165)</f>
        <v>PS388-Não Disponível/PSV5000-/FLASH100-Não Disponível</v>
      </c>
    </row>
    <row r="166" spans="1:5" x14ac:dyDescent="0.25">
      <c r="A166" s="1" t="s">
        <v>849</v>
      </c>
      <c r="B166" s="1" t="str">
        <f>'Banco de Dados'!J166</f>
        <v>TW22H-E55-A10</v>
      </c>
      <c r="C166" s="1" t="str">
        <f>'Banco de Dados'!D166</f>
        <v>PUNISHER_KBL</v>
      </c>
      <c r="D166" s="1" t="str">
        <f>'Banco de Dados'!L166</f>
        <v>A10 - 1.10.0</v>
      </c>
      <c r="E166" s="59" t="str">
        <f>_xlfn.CONCAT("PS388","-",'Banco de Dados'!F166,"/","PSV5000","-",'Banco de Dados'!G166,"/","FLASH100","-",'Banco de Dados'!H166)</f>
        <v>PS388-CA7EF391/PSV5000-/FLASH100-CA81F091</v>
      </c>
    </row>
    <row r="167" spans="1:5" x14ac:dyDescent="0.25">
      <c r="A167" s="1" t="s">
        <v>849</v>
      </c>
      <c r="B167" s="1" t="str">
        <f>'Banco de Dados'!J167</f>
        <v>TW22H-E55-A10</v>
      </c>
      <c r="C167" s="1" t="str">
        <f>'Banco de Dados'!D167</f>
        <v>PUNISHER_KBL</v>
      </c>
      <c r="D167" s="1" t="str">
        <f>'Banco de Dados'!L167</f>
        <v>A10 - 1.10.0</v>
      </c>
      <c r="E167" s="59" t="str">
        <f>_xlfn.CONCAT("PS388","-",'Banco de Dados'!F167,"/","PSV5000","-",'Banco de Dados'!G167,"/","FLASH100","-",'Banco de Dados'!H167)</f>
        <v>PS388-CA7EF391/PSV5000-/FLASH100-CA81F091</v>
      </c>
    </row>
    <row r="168" spans="1:5" x14ac:dyDescent="0.25">
      <c r="A168" s="1" t="s">
        <v>850</v>
      </c>
      <c r="B168" s="1" t="str">
        <f>'Banco de Dados'!J168</f>
        <v>TW22H-E55-A10</v>
      </c>
      <c r="C168" s="1" t="str">
        <f>'Banco de Dados'!D168</f>
        <v>PUNISHER_KBL</v>
      </c>
      <c r="D168" s="1" t="str">
        <f>'Banco de Dados'!L168</f>
        <v>A10 - 1.10.0</v>
      </c>
      <c r="E168" s="59" t="str">
        <f>_xlfn.CONCAT("PS388","-",'Banco de Dados'!F168,"/","PSV5000","-",'Banco de Dados'!G168,"/","FLASH100","-",'Banco de Dados'!H168)</f>
        <v>PS388-CA7EF391/PSV5000-/FLASH100-CA80F191</v>
      </c>
    </row>
    <row r="169" spans="1:5" x14ac:dyDescent="0.25">
      <c r="A169" s="1" t="s">
        <v>851</v>
      </c>
      <c r="B169" s="1" t="str">
        <f>'Banco de Dados'!J169</f>
        <v>SCALAR-U3900</v>
      </c>
      <c r="C169" s="1" t="str">
        <f>'Banco de Dados'!D169</f>
        <v>PUNISHER_KBL</v>
      </c>
      <c r="D169" s="1" t="str">
        <f>'Banco de Dados'!L169</f>
        <v>N/A</v>
      </c>
      <c r="E169" s="59" t="str">
        <f>_xlfn.CONCAT("PS388","-",'Banco de Dados'!F169,"/","PSV5000","-",'Banco de Dados'!G169,"/","FLASH100","-",'Banco de Dados'!H169)</f>
        <v>PS388-001374B7/PSV5000-/FLASH100-001374B7</v>
      </c>
    </row>
    <row r="170" spans="1:5" x14ac:dyDescent="0.25">
      <c r="A170" s="1" t="s">
        <v>852</v>
      </c>
      <c r="B170" s="1" t="str">
        <f>'Banco de Dados'!J170</f>
        <v>SCALAR-U3900</v>
      </c>
      <c r="C170" s="1" t="str">
        <f>'Banco de Dados'!D170</f>
        <v>PUNISHER_KBL</v>
      </c>
      <c r="D170" s="1" t="str">
        <f>'Banco de Dados'!L170</f>
        <v>N/A</v>
      </c>
      <c r="E170" s="59" t="str">
        <f>_xlfn.CONCAT("PS388","-",'Banco de Dados'!F170,"/","PSV5000","-",'Banco de Dados'!G170,"/","FLASH100","-",'Banco de Dados'!H170)</f>
        <v>PS388-00F294B7/PSV5000-/FLASH100-001374B7</v>
      </c>
    </row>
    <row r="171" spans="1:5" x14ac:dyDescent="0.25">
      <c r="A171" s="1" t="s">
        <v>849</v>
      </c>
      <c r="B171" s="1" t="str">
        <f>'Banco de Dados'!J171</f>
        <v>TW22H-E55-A10</v>
      </c>
      <c r="C171" s="1" t="str">
        <f>'Banco de Dados'!D171</f>
        <v>PUNISHER_KBL</v>
      </c>
      <c r="D171" s="1" t="str">
        <f>'Banco de Dados'!L171</f>
        <v>A10 - 1.10.0</v>
      </c>
      <c r="E171" s="59" t="str">
        <f>_xlfn.CONCAT("PS388","-",'Banco de Dados'!F171,"/","PSV5000","-",'Banco de Dados'!G171,"/","FLASH100","-",'Banco de Dados'!H171)</f>
        <v>PS388-CA7EF391/PSV5000-/FLASH100-CA81F091</v>
      </c>
    </row>
    <row r="172" spans="1:5" x14ac:dyDescent="0.25">
      <c r="A172" s="1" t="s">
        <v>849</v>
      </c>
      <c r="B172" s="1" t="str">
        <f>'Banco de Dados'!J172</f>
        <v>TW22H-E55-A10</v>
      </c>
      <c r="C172" s="1" t="str">
        <f>'Banco de Dados'!D172</f>
        <v>PUNISHER_KBL</v>
      </c>
      <c r="D172" s="1" t="str">
        <f>'Banco de Dados'!L172</f>
        <v>A10 - 1.10.0</v>
      </c>
      <c r="E172" s="59" t="str">
        <f>_xlfn.CONCAT("PS388","-",'Banco de Dados'!F172,"/","PSV5000","-",'Banco de Dados'!G172,"/","FLASH100","-",'Banco de Dados'!H172)</f>
        <v>PS388-CA7EF391/PSV5000-/FLASH100-CA81F091</v>
      </c>
    </row>
    <row r="173" spans="1:5" x14ac:dyDescent="0.25">
      <c r="A173" s="1" t="s">
        <v>850</v>
      </c>
      <c r="B173" s="1" t="str">
        <f>'Banco de Dados'!J173</f>
        <v>TW22H-E55-A10</v>
      </c>
      <c r="C173" s="1" t="str">
        <f>'Banco de Dados'!D173</f>
        <v>PUNISHER_KBL</v>
      </c>
      <c r="D173" s="1" t="str">
        <f>'Banco de Dados'!L173</f>
        <v>A10 - 1.10.0</v>
      </c>
      <c r="E173" s="59" t="str">
        <f>_xlfn.CONCAT("PS388","-",'Banco de Dados'!F173,"/","PSV5000","-",'Banco de Dados'!G173,"/","FLASH100","-",'Banco de Dados'!H173)</f>
        <v>PS388-CA7EF391/PSV5000-/FLASH100-CA80F191</v>
      </c>
    </row>
    <row r="174" spans="1:5" x14ac:dyDescent="0.25">
      <c r="A174" s="1" t="s">
        <v>851</v>
      </c>
      <c r="B174" s="1" t="str">
        <f>'Banco de Dados'!J174</f>
        <v>SCALAR-U3900</v>
      </c>
      <c r="C174" s="1" t="str">
        <f>'Banco de Dados'!D174</f>
        <v>PUNISHER_KBL</v>
      </c>
      <c r="D174" s="1" t="str">
        <f>'Banco de Dados'!L174</f>
        <v>N/A</v>
      </c>
      <c r="E174" s="59" t="str">
        <f>_xlfn.CONCAT("PS388","-",'Banco de Dados'!F174,"/","PSV5000","-",'Banco de Dados'!G174,"/","FLASH100","-",'Banco de Dados'!H174)</f>
        <v>PS388-001374B7/PSV5000-/FLASH100-001374B7</v>
      </c>
    </row>
    <row r="175" spans="1:5" x14ac:dyDescent="0.25">
      <c r="A175" s="1" t="s">
        <v>852</v>
      </c>
      <c r="B175" s="1" t="str">
        <f>'Banco de Dados'!J175</f>
        <v>SCALAR-U3900</v>
      </c>
      <c r="C175" s="1" t="str">
        <f>'Banco de Dados'!D175</f>
        <v>PUNISHER_KBL</v>
      </c>
      <c r="D175" s="1" t="str">
        <f>'Banco de Dados'!L175</f>
        <v>N/A</v>
      </c>
      <c r="E175" s="59" t="str">
        <f>_xlfn.CONCAT("PS388","-",'Banco de Dados'!F175,"/","PSV5000","-",'Banco de Dados'!G175,"/","FLASH100","-",'Banco de Dados'!H175)</f>
        <v>PS388-00F294B7/PSV5000-/FLASH100-001374B7</v>
      </c>
    </row>
    <row r="176" spans="1:5" x14ac:dyDescent="0.25">
      <c r="A176" s="1" t="s">
        <v>849</v>
      </c>
      <c r="B176" s="1" t="str">
        <f>'Banco de Dados'!J176</f>
        <v>TW22H-E55-A10</v>
      </c>
      <c r="C176" s="1" t="str">
        <f>'Banco de Dados'!D176</f>
        <v>PUNISHER_KBL</v>
      </c>
      <c r="D176" s="1" t="str">
        <f>'Banco de Dados'!L176</f>
        <v>A10 - 1.10.0</v>
      </c>
      <c r="E176" s="59" t="str">
        <f>_xlfn.CONCAT("PS388","-",'Banco de Dados'!F176,"/","PSV5000","-",'Banco de Dados'!G176,"/","FLASH100","-",'Banco de Dados'!H176)</f>
        <v>PS388-CA7EF391/PSV5000-/FLASH100-CA81F091</v>
      </c>
    </row>
    <row r="177" spans="1:5" x14ac:dyDescent="0.25">
      <c r="A177" s="1" t="s">
        <v>849</v>
      </c>
      <c r="B177" s="1" t="str">
        <f>'Banco de Dados'!J177</f>
        <v>TW22H-E55-A10</v>
      </c>
      <c r="C177" s="1" t="str">
        <f>'Banco de Dados'!D177</f>
        <v>PUNISHER_KBL</v>
      </c>
      <c r="D177" s="1" t="str">
        <f>'Banco de Dados'!L177</f>
        <v>A10 - 1.10.0</v>
      </c>
      <c r="E177" s="59" t="str">
        <f>_xlfn.CONCAT("PS388","-",'Banco de Dados'!F177,"/","PSV5000","-",'Banco de Dados'!G177,"/","FLASH100","-",'Banco de Dados'!H177)</f>
        <v>PS388-CA7EF391/PSV5000-/FLASH100-CA81F091</v>
      </c>
    </row>
    <row r="178" spans="1:5" x14ac:dyDescent="0.25">
      <c r="A178" s="1" t="s">
        <v>850</v>
      </c>
      <c r="B178" s="1" t="str">
        <f>'Banco de Dados'!J178</f>
        <v>TW22H-E55-A10</v>
      </c>
      <c r="C178" s="1" t="str">
        <f>'Banco de Dados'!D178</f>
        <v>PUNISHER_KBL</v>
      </c>
      <c r="D178" s="1" t="str">
        <f>'Banco de Dados'!L178</f>
        <v>A10 - 1.10.0</v>
      </c>
      <c r="E178" s="59" t="str">
        <f>_xlfn.CONCAT("PS388","-",'Banco de Dados'!F178,"/","PSV5000","-",'Banco de Dados'!G178,"/","FLASH100","-",'Banco de Dados'!H178)</f>
        <v>PS388-CA7EF391/PSV5000-/FLASH100-CA80F191</v>
      </c>
    </row>
    <row r="179" spans="1:5" x14ac:dyDescent="0.25">
      <c r="A179" s="1" t="s">
        <v>851</v>
      </c>
      <c r="B179" s="1" t="str">
        <f>'Banco de Dados'!J179</f>
        <v>SCALAR-U3900</v>
      </c>
      <c r="C179" s="1" t="str">
        <f>'Banco de Dados'!D179</f>
        <v>PUNISHER_KBL</v>
      </c>
      <c r="D179" s="1" t="str">
        <f>'Banco de Dados'!L179</f>
        <v>N/A</v>
      </c>
      <c r="E179" s="59" t="str">
        <f>_xlfn.CONCAT("PS388","-",'Banco de Dados'!F179,"/","PSV5000","-",'Banco de Dados'!G179,"/","FLASH100","-",'Banco de Dados'!H179)</f>
        <v>PS388-001374B7/PSV5000-/FLASH100-001374B7</v>
      </c>
    </row>
    <row r="180" spans="1:5" x14ac:dyDescent="0.25">
      <c r="A180" s="1" t="s">
        <v>852</v>
      </c>
      <c r="B180" s="1" t="str">
        <f>'Banco de Dados'!J180</f>
        <v>SCALAR-U3900</v>
      </c>
      <c r="C180" s="1" t="str">
        <f>'Banco de Dados'!D180</f>
        <v>PUNISHER_KBL</v>
      </c>
      <c r="D180" s="1" t="str">
        <f>'Banco de Dados'!L180</f>
        <v>N/A</v>
      </c>
      <c r="E180" s="59" t="str">
        <f>_xlfn.CONCAT("PS388","-",'Banco de Dados'!F180,"/","PSV5000","-",'Banco de Dados'!G180,"/","FLASH100","-",'Banco de Dados'!H180)</f>
        <v>PS388-00F294B7/PSV5000-/FLASH100-001374B7</v>
      </c>
    </row>
    <row r="181" spans="1:5" x14ac:dyDescent="0.25">
      <c r="A181" s="1" t="s">
        <v>818</v>
      </c>
      <c r="B181" s="1" t="str">
        <f>'Banco de Dados'!J181</f>
        <v>MTR-CPLD-A08</v>
      </c>
      <c r="C181" s="1" t="str">
        <f>'Banco de Dados'!D181</f>
        <v>MATIRA_3_CLX</v>
      </c>
      <c r="D181" s="1" t="str">
        <f>'Banco de Dados'!L181</f>
        <v>A08(X48)</v>
      </c>
      <c r="E181" s="59" t="str">
        <f>_xlfn.CONCAT("PS388","-",'Banco de Dados'!F181,"/","PSV5000","-",'Banco de Dados'!G181,"/","FLASH100","-",'Banco de Dados'!H181)</f>
        <v>PS388-Não Disponível/PSV5000-/FLASH100-Não Disponível</v>
      </c>
    </row>
    <row r="182" spans="1:5" x14ac:dyDescent="0.25">
      <c r="A182" s="1" t="s">
        <v>853</v>
      </c>
      <c r="B182" s="1" t="str">
        <f>'Banco de Dados'!J182</f>
        <v>MTR-CPLD-A08</v>
      </c>
      <c r="C182" s="1" t="str">
        <f>'Banco de Dados'!D182</f>
        <v>MATIRA_3_CLX</v>
      </c>
      <c r="D182" s="1" t="str">
        <f>'Banco de Dados'!L182</f>
        <v>A08(X48)</v>
      </c>
      <c r="E182" s="59" t="str">
        <f>_xlfn.CONCAT("PS388","-",'Banco de Dados'!F182,"/","PSV5000","-",'Banco de Dados'!G182,"/","FLASH100","-",'Banco de Dados'!H182)</f>
        <v>PS388-Não Disponível/PSV5000-/FLASH100-0035F2A5</v>
      </c>
    </row>
    <row r="183" spans="1:5" x14ac:dyDescent="0.25">
      <c r="A183" s="1" t="s">
        <v>854</v>
      </c>
      <c r="B183" s="1" t="str">
        <f>'Banco de Dados'!J183</f>
        <v>RHCXM-BIOS-A02</v>
      </c>
      <c r="C183" s="1" t="str">
        <f>'Banco de Dados'!D183</f>
        <v>MATIRA_3_CLX</v>
      </c>
      <c r="D183" s="1" t="str">
        <f>'Banco de Dados'!L183</f>
        <v>A02 (2.0.2)</v>
      </c>
      <c r="E183" s="59" t="str">
        <f>_xlfn.CONCAT("PS388","-",'Banco de Dados'!F183,"/","PSV5000","-",'Banco de Dados'!G183,"/","FLASH100","-",'Banco de Dados'!H183)</f>
        <v>PS388-DF963A4C/PSV5000-/FLASH100-9CF555E2</v>
      </c>
    </row>
    <row r="184" spans="1:5" x14ac:dyDescent="0.25">
      <c r="A184" s="1" t="s">
        <v>855</v>
      </c>
      <c r="B184" s="1" t="str">
        <f>'Banco de Dados'!J184</f>
        <v>RHCXM-BIOS-A02</v>
      </c>
      <c r="C184" s="1" t="str">
        <f>'Banco de Dados'!D184</f>
        <v>MATIRA_3_CLX</v>
      </c>
      <c r="D184" s="1" t="str">
        <f>'Banco de Dados'!L184</f>
        <v>A02 (2.0.2)</v>
      </c>
      <c r="E184" s="59" t="str">
        <f>_xlfn.CONCAT("PS388","-",'Banco de Dados'!F184,"/","PSV5000","-",'Banco de Dados'!G184,"/","FLASH100","-",'Banco de Dados'!H184)</f>
        <v>PS388-DF963A4C/PSV5000-/FLASH100-9CF456E2</v>
      </c>
    </row>
    <row r="185" spans="1:5" x14ac:dyDescent="0.25">
      <c r="A185" s="1" t="s">
        <v>855</v>
      </c>
      <c r="B185" s="1" t="str">
        <f>'Banco de Dados'!J185</f>
        <v>RHCXM-BIOS-A02</v>
      </c>
      <c r="C185" s="1" t="str">
        <f>'Banco de Dados'!D185</f>
        <v>MATIRA_3_CLX</v>
      </c>
      <c r="D185" s="1" t="str">
        <f>'Banco de Dados'!L185</f>
        <v>A02 (2.0.2)</v>
      </c>
      <c r="E185" s="59" t="str">
        <f>_xlfn.CONCAT("PS388","-",'Banco de Dados'!F185,"/","PSV5000","-",'Banco de Dados'!G185,"/","FLASH100","-",'Banco de Dados'!H185)</f>
        <v>PS388-DF963A4C/PSV5000-/FLASH100-9CF456E2</v>
      </c>
    </row>
    <row r="186" spans="1:5" x14ac:dyDescent="0.25">
      <c r="A186" s="1" t="s">
        <v>818</v>
      </c>
      <c r="B186" s="1" t="str">
        <f>'Banco de Dados'!J186</f>
        <v>RHCXM-BIOS-A02</v>
      </c>
      <c r="C186" s="1" t="str">
        <f>'Banco de Dados'!D186</f>
        <v>MATIRA_3_CLX</v>
      </c>
      <c r="D186" s="1" t="str">
        <f>'Banco de Dados'!L186</f>
        <v>A02 (2.0.2)</v>
      </c>
      <c r="E186" s="59" t="str">
        <f>_xlfn.CONCAT("PS388","-",'Banco de Dados'!F186,"/","PSV5000","-",'Banco de Dados'!G186,"/","FLASH100","-",'Banco de Dados'!H186)</f>
        <v>PS388-Não Disponível/PSV5000-/FLASH100-Não Disponível</v>
      </c>
    </row>
    <row r="187" spans="1:5" x14ac:dyDescent="0.25">
      <c r="A187" s="1" t="s">
        <v>856</v>
      </c>
      <c r="B187" s="1" t="str">
        <f>'Banco de Dados'!J187</f>
        <v>MTRCLX-EC-A01</v>
      </c>
      <c r="C187" s="1" t="str">
        <f>'Banco de Dados'!D187</f>
        <v>MATIRA_3_CLX</v>
      </c>
      <c r="D187" s="1" t="str">
        <f>'Banco de Dados'!L187</f>
        <v>A01(1.00.22)</v>
      </c>
      <c r="E187" s="59" t="str">
        <f>_xlfn.CONCAT("PS388","-",'Banco de Dados'!F187,"/","PSV5000","-",'Banco de Dados'!G187,"/","FLASH100","-",'Banco de Dados'!H187)</f>
        <v>PS388-074EE60A/PSV5000-/FLASH100-074EE60A</v>
      </c>
    </row>
    <row r="188" spans="1:5" x14ac:dyDescent="0.25">
      <c r="A188" s="1" t="s">
        <v>857</v>
      </c>
      <c r="B188" s="1" t="str">
        <f>'Banco de Dados'!J188</f>
        <v>MTRCLX-EC-A01</v>
      </c>
      <c r="C188" s="1" t="str">
        <f>'Banco de Dados'!D188</f>
        <v>MATIRA_3_CLX</v>
      </c>
      <c r="D188" s="1" t="str">
        <f>'Banco de Dados'!L188</f>
        <v>A01(1.00.22)</v>
      </c>
      <c r="E188" s="59" t="str">
        <f>_xlfn.CONCAT("PS388","-",'Banco de Dados'!F188,"/","PSV5000","-",'Banco de Dados'!G188,"/","FLASH100","-",'Banco de Dados'!H188)</f>
        <v>PS388-074EE60A/PSV5000-/FLASH100-0752E20A</v>
      </c>
    </row>
    <row r="189" spans="1:5" x14ac:dyDescent="0.25">
      <c r="A189" s="1" t="s">
        <v>858</v>
      </c>
      <c r="B189" s="1" t="str">
        <f>'Banco de Dados'!J189</f>
        <v>3RP6T-F3U1-A17</v>
      </c>
      <c r="C189" s="1" t="str">
        <f>'Banco de Dados'!D189</f>
        <v>VMAX_CFL_R</v>
      </c>
      <c r="D189" s="1" t="str">
        <f>'Banco de Dados'!L189</f>
        <v>A17(1.1.13)</v>
      </c>
      <c r="E189" s="59" t="str">
        <f>_xlfn.CONCAT("PS388","-",'Banco de Dados'!F189,"/","PSV5000","-",'Banco de Dados'!G189,"/","FLASH100","-",'Banco de Dados'!H189)</f>
        <v>PS388-/PSV5000-CF53800D/FLASH100-CF567D0D</v>
      </c>
    </row>
    <row r="190" spans="1:5" x14ac:dyDescent="0.25">
      <c r="A190" s="1" t="s">
        <v>858</v>
      </c>
      <c r="B190" s="1" t="str">
        <f>'Banco de Dados'!J190</f>
        <v>3RP6T-F3U1-A17</v>
      </c>
      <c r="C190" s="1" t="str">
        <f>'Banco de Dados'!D190</f>
        <v>VMAX_CFL_R</v>
      </c>
      <c r="D190" s="1" t="str">
        <f>'Banco de Dados'!L190</f>
        <v>A17(1.1.13)</v>
      </c>
      <c r="E190" s="59" t="str">
        <f>_xlfn.CONCAT("PS388","-",'Banco de Dados'!F190,"/","PSV5000","-",'Banco de Dados'!G190,"/","FLASH100","-",'Banco de Dados'!H190)</f>
        <v>PS388-/PSV5000-CF53800D/FLASH100-CF567D0D</v>
      </c>
    </row>
    <row r="191" spans="1:5" x14ac:dyDescent="0.25">
      <c r="A191" s="1" t="s">
        <v>859</v>
      </c>
      <c r="B191" s="1" t="str">
        <f>'Banco de Dados'!J191</f>
        <v>3RP6T-F3U1-A17</v>
      </c>
      <c r="C191" s="1" t="str">
        <f>'Banco de Dados'!D191</f>
        <v>VMAX_CFL_R</v>
      </c>
      <c r="D191" s="1" t="str">
        <f>'Banco de Dados'!L191</f>
        <v>A17(1.1.13)</v>
      </c>
      <c r="E191" s="59" t="str">
        <f>_xlfn.CONCAT("PS388","-",'Banco de Dados'!F191,"/","PSV5000","-",'Banco de Dados'!G191,"/","FLASH100","-",'Banco de Dados'!H191)</f>
        <v>PS388-/PSV5000-CF53800D/FLASH100-CF557E0D</v>
      </c>
    </row>
    <row r="192" spans="1:5" x14ac:dyDescent="0.25">
      <c r="A192" s="1" t="s">
        <v>860</v>
      </c>
      <c r="B192" s="1" t="str">
        <f>'Banco de Dados'!J192</f>
        <v>TYPEC-F3U2-0859</v>
      </c>
      <c r="C192" s="1" t="str">
        <f>'Banco de Dados'!D192</f>
        <v>VMAX_CFL_R</v>
      </c>
      <c r="D192" s="1" t="str">
        <f>'Banco de Dados'!L192</f>
        <v>N/A</v>
      </c>
      <c r="E192" s="59" t="str">
        <f>_xlfn.CONCAT("PS388","-",'Banco de Dados'!F192,"/","PSV5000","-",'Banco de Dados'!G192,"/","FLASH100","-",'Banco de Dados'!H192)</f>
        <v>PS388-/PSV5000-00721739/FLASH100-00721739</v>
      </c>
    </row>
    <row r="193" spans="1:5" x14ac:dyDescent="0.25">
      <c r="A193" s="1" t="s">
        <v>861</v>
      </c>
      <c r="B193" s="1" t="str">
        <f>'Banco de Dados'!J193</f>
        <v>TYPEC-F3U2-0859</v>
      </c>
      <c r="C193" s="1" t="str">
        <f>'Banco de Dados'!D193</f>
        <v>VMAX_CFL_R</v>
      </c>
      <c r="D193" s="1" t="str">
        <f>'Banco de Dados'!L193</f>
        <v>N/A</v>
      </c>
      <c r="E193" s="59" t="str">
        <f>_xlfn.CONCAT("PS388","-",'Banco de Dados'!F193,"/","PSV5000","-",'Banco de Dados'!G193,"/","FLASH100","-",'Banco de Dados'!H193)</f>
        <v>PS388-/PSV5000-00761339/FLASH100-00761339</v>
      </c>
    </row>
    <row r="194" spans="1:5" x14ac:dyDescent="0.25">
      <c r="A194" s="1" t="s">
        <v>862</v>
      </c>
      <c r="B194" s="1" t="str">
        <f>'Banco de Dados'!J194</f>
        <v>4X5W7-A00</v>
      </c>
      <c r="C194" s="1" t="str">
        <f>'Banco de Dados'!D194</f>
        <v>MINOTAUR_MLK</v>
      </c>
      <c r="D194" s="1" t="str">
        <f>'Banco de Dados'!L194</f>
        <v>A00 (20.8.4)</v>
      </c>
      <c r="E194" s="59" t="str">
        <f>_xlfn.CONCAT("PS388","-",'Banco de Dados'!F194,"/","PSV5000","-",'Banco de Dados'!G194,"/","FLASH100","-",'Banco de Dados'!H194)</f>
        <v>PS388-0A321BEB/PSV5000-/FLASH100-0A325BAB</v>
      </c>
    </row>
    <row r="195" spans="1:5" x14ac:dyDescent="0.25">
      <c r="A195" s="1" t="s">
        <v>863</v>
      </c>
      <c r="B195" s="1" t="str">
        <f>'Banco de Dados'!J195</f>
        <v>4JCPK-A06</v>
      </c>
      <c r="C195" s="1" t="str">
        <f>'Banco de Dados'!D195</f>
        <v>MINOTAUR_MLK</v>
      </c>
      <c r="D195" s="1" t="str">
        <f>'Banco de Dados'!L195</f>
        <v>A06 (4.10.10.10)</v>
      </c>
      <c r="E195" s="59" t="str">
        <f>_xlfn.CONCAT("PS388","-",'Banco de Dados'!F195,"/","PSV5000","-",'Banco de Dados'!G195,"/","FLASH100","-",'Banco de Dados'!H195)</f>
        <v>PS388-37470D74/PSV5000-/FLASH100-37490B74</v>
      </c>
    </row>
    <row r="196" spans="1:5" x14ac:dyDescent="0.25">
      <c r="A196" s="1" t="s">
        <v>864</v>
      </c>
      <c r="B196" s="1" t="str">
        <f>'Banco de Dados'!J196</f>
        <v>4JCPK-A06</v>
      </c>
      <c r="C196" s="1" t="str">
        <f>'Banco de Dados'!D196</f>
        <v>MINOTAUR_MLK</v>
      </c>
      <c r="D196" s="1" t="str">
        <f>'Banco de Dados'!L196</f>
        <v>A06 (4.10.10.10)</v>
      </c>
      <c r="E196" s="59" t="str">
        <f>_xlfn.CONCAT("PS388","-",'Banco de Dados'!F196,"/","PSV5000","-",'Banco de Dados'!G196,"/","FLASH100","-",'Banco de Dados'!H196)</f>
        <v>PS388-37470D74/PSV5000-/FLASH100-374A0A74</v>
      </c>
    </row>
    <row r="197" spans="1:5" x14ac:dyDescent="0.25">
      <c r="A197" s="1" t="s">
        <v>865</v>
      </c>
      <c r="B197" s="1" t="str">
        <f>'Banco de Dados'!J197</f>
        <v>HT9C7-A05</v>
      </c>
      <c r="C197" s="1" t="str">
        <f>'Banco de Dados'!D197</f>
        <v>MINOTAUR_MLK</v>
      </c>
      <c r="D197" s="1" t="str">
        <f>'Banco de Dados'!L197</f>
        <v>A05(2.2.3)</v>
      </c>
      <c r="E197" s="59" t="str">
        <f>_xlfn.CONCAT("PS388","-",'Banco de Dados'!F197,"/","PSV5000","-",'Banco de Dados'!G197,"/","FLASH100","-",'Banco de Dados'!H197)</f>
        <v>PS388-EC7160BC/PSV5000-/FLASH100-9A15A4FD</v>
      </c>
    </row>
    <row r="198" spans="1:5" x14ac:dyDescent="0.25">
      <c r="A198" s="1" t="s">
        <v>866</v>
      </c>
      <c r="B198" s="1" t="str">
        <f>'Banco de Dados'!J198</f>
        <v>HT9C7-A05</v>
      </c>
      <c r="C198" s="1" t="str">
        <f>'Banco de Dados'!D198</f>
        <v>MINOTAUR_MLK</v>
      </c>
      <c r="D198" s="1" t="str">
        <f>'Banco de Dados'!L198</f>
        <v>A05(2.2.3)</v>
      </c>
      <c r="E198" s="59" t="str">
        <f>_xlfn.CONCAT("PS388","-",'Banco de Dados'!F198,"/","PSV5000","-",'Banco de Dados'!G198,"/","FLASH100","-",'Banco de Dados'!H198)</f>
        <v>PS388-EC7160BC/PSV5000-/FLASH100-9A16A3FD</v>
      </c>
    </row>
    <row r="199" spans="1:5" x14ac:dyDescent="0.25">
      <c r="A199" s="1" t="s">
        <v>866</v>
      </c>
      <c r="B199" s="1" t="str">
        <f>'Banco de Dados'!J199</f>
        <v>HT9C7-A05</v>
      </c>
      <c r="C199" s="1" t="str">
        <f>'Banco de Dados'!D199</f>
        <v>MINOTAUR_MLK</v>
      </c>
      <c r="D199" s="1" t="str">
        <f>'Banco de Dados'!L199</f>
        <v>A05(2.2.3)</v>
      </c>
      <c r="E199" s="59" t="str">
        <f>_xlfn.CONCAT("PS388","-",'Banco de Dados'!F199,"/","PSV5000","-",'Banco de Dados'!G199,"/","FLASH100","-",'Banco de Dados'!H199)</f>
        <v>PS388-EC7160BC/PSV5000-/FLASH100-9A16A3FD</v>
      </c>
    </row>
    <row r="200" spans="1:5" x14ac:dyDescent="0.25">
      <c r="A200" s="1" t="s">
        <v>867</v>
      </c>
      <c r="B200" s="1" t="str">
        <f>'Banco de Dados'!J200</f>
        <v>WKRYT-A00</v>
      </c>
      <c r="C200" s="1" t="str">
        <f>'Banco de Dados'!D200</f>
        <v>MINOTAUR_MLK</v>
      </c>
      <c r="D200" s="1" t="str">
        <f>'Banco de Dados'!L200</f>
        <v>A00</v>
      </c>
      <c r="E200" s="59" t="str">
        <f>_xlfn.CONCAT("PS388","-",'Banco de Dados'!F200,"/","PSV5000","-",'Banco de Dados'!G200,"/","FLASH100","-",'Banco de Dados'!H200)</f>
        <v>PS388-Não Disponível/PSV5000-/FLASH100-00010028</v>
      </c>
    </row>
    <row r="201" spans="1:5" x14ac:dyDescent="0.25">
      <c r="A201" s="1" t="s">
        <v>868</v>
      </c>
      <c r="B201" s="1" t="str">
        <f>'Banco de Dados'!J201</f>
        <v>R5KD4-A01</v>
      </c>
      <c r="C201" s="1" t="str">
        <f>'Banco de Dados'!D201</f>
        <v>MINOTAUR_MLK</v>
      </c>
      <c r="D201" s="1" t="str">
        <f>'Banco de Dados'!L201</f>
        <v>A01 (1.0.5)</v>
      </c>
      <c r="E201" s="59" t="str">
        <f>_xlfn.CONCAT("PS388","-",'Banco de Dados'!F201,"/","PSV5000","-",'Banco de Dados'!G201,"/","FLASH100","-",'Banco de Dados'!H201)</f>
        <v>PS388-Não Disponível/PSV5000-/FLASH100-002E57F6</v>
      </c>
    </row>
    <row r="202" spans="1:5" x14ac:dyDescent="0.25">
      <c r="A202" s="1" t="s">
        <v>862</v>
      </c>
      <c r="B202" s="1" t="str">
        <f>'Banco de Dados'!J202</f>
        <v>4X5W7-A00</v>
      </c>
      <c r="C202" s="1" t="str">
        <f>'Banco de Dados'!D202</f>
        <v>MINOTAUR_MLK</v>
      </c>
      <c r="D202" s="1" t="str">
        <f>'Banco de Dados'!L202</f>
        <v>A00 (20.8.4)</v>
      </c>
      <c r="E202" s="59" t="str">
        <f>_xlfn.CONCAT("PS388","-",'Banco de Dados'!F202,"/","PSV5000","-",'Banco de Dados'!G202,"/","FLASH100","-",'Banco de Dados'!H202)</f>
        <v>PS388-0A321BEB/PSV5000-/FLASH100-0A325BAB</v>
      </c>
    </row>
    <row r="203" spans="1:5" x14ac:dyDescent="0.25">
      <c r="A203" s="1" t="s">
        <v>863</v>
      </c>
      <c r="B203" s="1" t="str">
        <f>'Banco de Dados'!J203</f>
        <v>4JCPK-A06</v>
      </c>
      <c r="C203" s="1" t="str">
        <f>'Banco de Dados'!D203</f>
        <v>MINOTAUR_MLK</v>
      </c>
      <c r="D203" s="1" t="str">
        <f>'Banco de Dados'!L203</f>
        <v>A06 (4.10.10.10)</v>
      </c>
      <c r="E203" s="59" t="str">
        <f>_xlfn.CONCAT("PS388","-",'Banco de Dados'!F203,"/","PSV5000","-",'Banco de Dados'!G203,"/","FLASH100","-",'Banco de Dados'!H203)</f>
        <v>PS388-37470D74/PSV5000-/FLASH100-37490B74</v>
      </c>
    </row>
    <row r="204" spans="1:5" x14ac:dyDescent="0.25">
      <c r="A204" s="1" t="s">
        <v>864</v>
      </c>
      <c r="B204" s="1" t="str">
        <f>'Banco de Dados'!J204</f>
        <v>4JCPK-A06</v>
      </c>
      <c r="C204" s="1" t="str">
        <f>'Banco de Dados'!D204</f>
        <v>MINOTAUR_MLK</v>
      </c>
      <c r="D204" s="1" t="str">
        <f>'Banco de Dados'!L204</f>
        <v>A06 (4.10.10.10)</v>
      </c>
      <c r="E204" s="59" t="str">
        <f>_xlfn.CONCAT("PS388","-",'Banco de Dados'!F204,"/","PSV5000","-",'Banco de Dados'!G204,"/","FLASH100","-",'Banco de Dados'!H204)</f>
        <v>PS388-37470D74/PSV5000-/FLASH100-374A0A74</v>
      </c>
    </row>
    <row r="205" spans="1:5" x14ac:dyDescent="0.25">
      <c r="A205" s="1" t="s">
        <v>865</v>
      </c>
      <c r="B205" s="1" t="str">
        <f>'Banco de Dados'!J205</f>
        <v>HT9C7-A05</v>
      </c>
      <c r="C205" s="1" t="str">
        <f>'Banco de Dados'!D205</f>
        <v>MINOTAUR_MLK</v>
      </c>
      <c r="D205" s="1" t="str">
        <f>'Banco de Dados'!L205</f>
        <v>A05(2.2.3)</v>
      </c>
      <c r="E205" s="59" t="str">
        <f>_xlfn.CONCAT("PS388","-",'Banco de Dados'!F205,"/","PSV5000","-",'Banco de Dados'!G205,"/","FLASH100","-",'Banco de Dados'!H205)</f>
        <v>PS388-EC7160BC/PSV5000-/FLASH100-9A15A4FD</v>
      </c>
    </row>
    <row r="206" spans="1:5" x14ac:dyDescent="0.25">
      <c r="A206" s="1" t="s">
        <v>866</v>
      </c>
      <c r="B206" s="1" t="str">
        <f>'Banco de Dados'!J206</f>
        <v>HT9C7-A05</v>
      </c>
      <c r="C206" s="1" t="str">
        <f>'Banco de Dados'!D206</f>
        <v>MINOTAUR_MLK</v>
      </c>
      <c r="D206" s="1" t="str">
        <f>'Banco de Dados'!L206</f>
        <v>A05(2.2.3)</v>
      </c>
      <c r="E206" s="59" t="str">
        <f>_xlfn.CONCAT("PS388","-",'Banco de Dados'!F206,"/","PSV5000","-",'Banco de Dados'!G206,"/","FLASH100","-",'Banco de Dados'!H206)</f>
        <v>PS388-EC7160BC/PSV5000-/FLASH100-9A16A3FD</v>
      </c>
    </row>
    <row r="207" spans="1:5" x14ac:dyDescent="0.25">
      <c r="A207" s="1" t="s">
        <v>866</v>
      </c>
      <c r="B207" s="1" t="str">
        <f>'Banco de Dados'!J207</f>
        <v>HT9C7-A05</v>
      </c>
      <c r="C207" s="1" t="str">
        <f>'Banco de Dados'!D207</f>
        <v>MINOTAUR_MLK</v>
      </c>
      <c r="D207" s="1" t="str">
        <f>'Banco de Dados'!L207</f>
        <v>A05(2.2.3)</v>
      </c>
      <c r="E207" s="59" t="str">
        <f>_xlfn.CONCAT("PS388","-",'Banco de Dados'!F207,"/","PSV5000","-",'Banco de Dados'!G207,"/","FLASH100","-",'Banco de Dados'!H207)</f>
        <v>PS388-EC7160BC/PSV5000-/FLASH100-9A16A3FD</v>
      </c>
    </row>
    <row r="208" spans="1:5" x14ac:dyDescent="0.25">
      <c r="A208" s="1" t="s">
        <v>867</v>
      </c>
      <c r="B208" s="1" t="str">
        <f>'Banco de Dados'!J208</f>
        <v>WKRYT-A00</v>
      </c>
      <c r="C208" s="1" t="str">
        <f>'Banco de Dados'!D208</f>
        <v>MINOTAUR_MLK</v>
      </c>
      <c r="D208" s="1" t="str">
        <f>'Banco de Dados'!L208</f>
        <v>A00</v>
      </c>
      <c r="E208" s="59" t="str">
        <f>_xlfn.CONCAT("PS388","-",'Banco de Dados'!F208,"/","PSV5000","-",'Banco de Dados'!G208,"/","FLASH100","-",'Banco de Dados'!H208)</f>
        <v>PS388-Não Disponível/PSV5000-/FLASH100-00010028</v>
      </c>
    </row>
    <row r="209" spans="1:5" x14ac:dyDescent="0.25">
      <c r="A209" s="1" t="s">
        <v>868</v>
      </c>
      <c r="B209" s="1" t="str">
        <f>'Banco de Dados'!J209</f>
        <v>R5KD4-A01</v>
      </c>
      <c r="C209" s="1" t="str">
        <f>'Banco de Dados'!D209</f>
        <v>MINOTAUR_MLK</v>
      </c>
      <c r="D209" s="1" t="str">
        <f>'Banco de Dados'!L209</f>
        <v>A01 (1.0.5)</v>
      </c>
      <c r="E209" s="59" t="str">
        <f>_xlfn.CONCAT("PS388","-",'Banco de Dados'!F209,"/","PSV5000","-",'Banco de Dados'!G209,"/","FLASH100","-",'Banco de Dados'!H209)</f>
        <v>PS388-Não Disponível/PSV5000-/FLASH100-002E57F6</v>
      </c>
    </row>
    <row r="210" spans="1:5" x14ac:dyDescent="0.25">
      <c r="A210" s="1" t="s">
        <v>862</v>
      </c>
      <c r="B210" s="1" t="str">
        <f>'Banco de Dados'!J210</f>
        <v>4X5W7-A00</v>
      </c>
      <c r="C210" s="1" t="str">
        <f>'Banco de Dados'!D210</f>
        <v>MINOTAUR_MLK</v>
      </c>
      <c r="D210" s="1" t="str">
        <f>'Banco de Dados'!L210</f>
        <v>A00 (20.8.4)</v>
      </c>
      <c r="E210" s="59" t="str">
        <f>_xlfn.CONCAT("PS388","-",'Banco de Dados'!F210,"/","PSV5000","-",'Banco de Dados'!G210,"/","FLASH100","-",'Banco de Dados'!H210)</f>
        <v>PS388-0A321BEB/PSV5000-/FLASH100-0A325BAB</v>
      </c>
    </row>
    <row r="211" spans="1:5" x14ac:dyDescent="0.25">
      <c r="A211" s="1" t="s">
        <v>863</v>
      </c>
      <c r="B211" s="1" t="str">
        <f>'Banco de Dados'!J211</f>
        <v>4JCPK-A06</v>
      </c>
      <c r="C211" s="1" t="str">
        <f>'Banco de Dados'!D211</f>
        <v>MINOTAUR_MLK</v>
      </c>
      <c r="D211" s="1" t="str">
        <f>'Banco de Dados'!L211</f>
        <v>A06 (4.10.10.10)</v>
      </c>
      <c r="E211" s="59" t="str">
        <f>_xlfn.CONCAT("PS388","-",'Banco de Dados'!F211,"/","PSV5000","-",'Banco de Dados'!G211,"/","FLASH100","-",'Banco de Dados'!H211)</f>
        <v>PS388-37470D74/PSV5000-/FLASH100-37490B74</v>
      </c>
    </row>
    <row r="212" spans="1:5" x14ac:dyDescent="0.25">
      <c r="A212" s="1" t="s">
        <v>864</v>
      </c>
      <c r="B212" s="1" t="str">
        <f>'Banco de Dados'!J212</f>
        <v>4JCPK-A06</v>
      </c>
      <c r="C212" s="1" t="str">
        <f>'Banco de Dados'!D212</f>
        <v>MINOTAUR_MLK</v>
      </c>
      <c r="D212" s="1" t="str">
        <f>'Banco de Dados'!L212</f>
        <v>A06 (4.10.10.10)</v>
      </c>
      <c r="E212" s="59" t="str">
        <f>_xlfn.CONCAT("PS388","-",'Banco de Dados'!F212,"/","PSV5000","-",'Banco de Dados'!G212,"/","FLASH100","-",'Banco de Dados'!H212)</f>
        <v>PS388-37470D74/PSV5000-/FLASH100-374A0A74</v>
      </c>
    </row>
    <row r="213" spans="1:5" x14ac:dyDescent="0.25">
      <c r="A213" s="1" t="s">
        <v>865</v>
      </c>
      <c r="B213" s="1" t="str">
        <f>'Banco de Dados'!J213</f>
        <v>HT9C7-A05</v>
      </c>
      <c r="C213" s="1" t="str">
        <f>'Banco de Dados'!D213</f>
        <v>MINOTAUR_MLK</v>
      </c>
      <c r="D213" s="1" t="str">
        <f>'Banco de Dados'!L213</f>
        <v>A05(2.2.3)</v>
      </c>
      <c r="E213" s="59" t="str">
        <f>_xlfn.CONCAT("PS388","-",'Banco de Dados'!F213,"/","PSV5000","-",'Banco de Dados'!G213,"/","FLASH100","-",'Banco de Dados'!H213)</f>
        <v>PS388-EC7160BC/PSV5000-/FLASH100-9A15A4FD</v>
      </c>
    </row>
    <row r="214" spans="1:5" x14ac:dyDescent="0.25">
      <c r="A214" s="1" t="s">
        <v>866</v>
      </c>
      <c r="B214" s="1" t="str">
        <f>'Banco de Dados'!J214</f>
        <v>HT9C7-A05</v>
      </c>
      <c r="C214" s="1" t="str">
        <f>'Banco de Dados'!D214</f>
        <v>MINOTAUR_MLK</v>
      </c>
      <c r="D214" s="1" t="str">
        <f>'Banco de Dados'!L214</f>
        <v>A05(2.2.3)</v>
      </c>
      <c r="E214" s="59" t="str">
        <f>_xlfn.CONCAT("PS388","-",'Banco de Dados'!F214,"/","PSV5000","-",'Banco de Dados'!G214,"/","FLASH100","-",'Banco de Dados'!H214)</f>
        <v>PS388-EC7160BC/PSV5000-/FLASH100-9A16A3FD</v>
      </c>
    </row>
    <row r="215" spans="1:5" x14ac:dyDescent="0.25">
      <c r="A215" s="1" t="s">
        <v>866</v>
      </c>
      <c r="B215" s="1" t="str">
        <f>'Banco de Dados'!J215</f>
        <v>HT9C7-A05</v>
      </c>
      <c r="C215" s="1" t="str">
        <f>'Banco de Dados'!D215</f>
        <v>MINOTAUR_MLK</v>
      </c>
      <c r="D215" s="1" t="str">
        <f>'Banco de Dados'!L215</f>
        <v>A05(2.2.3)</v>
      </c>
      <c r="E215" s="59" t="str">
        <f>_xlfn.CONCAT("PS388","-",'Banco de Dados'!F215,"/","PSV5000","-",'Banco de Dados'!G215,"/","FLASH100","-",'Banco de Dados'!H215)</f>
        <v>PS388-EC7160BC/PSV5000-/FLASH100-9A16A3FD</v>
      </c>
    </row>
    <row r="216" spans="1:5" x14ac:dyDescent="0.25">
      <c r="A216" s="1" t="s">
        <v>867</v>
      </c>
      <c r="B216" s="1" t="str">
        <f>'Banco de Dados'!J216</f>
        <v>WKRYT-A00</v>
      </c>
      <c r="C216" s="1" t="str">
        <f>'Banco de Dados'!D216</f>
        <v>MINOTAUR_MLK</v>
      </c>
      <c r="D216" s="1" t="str">
        <f>'Banco de Dados'!L216</f>
        <v>A00</v>
      </c>
      <c r="E216" s="59" t="str">
        <f>_xlfn.CONCAT("PS388","-",'Banco de Dados'!F216,"/","PSV5000","-",'Banco de Dados'!G216,"/","FLASH100","-",'Banco de Dados'!H216)</f>
        <v>PS388-Não Disponível/PSV5000-/FLASH100-00010028</v>
      </c>
    </row>
    <row r="217" spans="1:5" x14ac:dyDescent="0.25">
      <c r="A217" s="1" t="s">
        <v>868</v>
      </c>
      <c r="B217" s="1" t="str">
        <f>'Banco de Dados'!J217</f>
        <v>R5KD4-A01</v>
      </c>
      <c r="C217" s="1" t="str">
        <f>'Banco de Dados'!D217</f>
        <v>MINOTAUR_MLK</v>
      </c>
      <c r="D217" s="1" t="str">
        <f>'Banco de Dados'!L217</f>
        <v>A01 (1.0.5)</v>
      </c>
      <c r="E217" s="59" t="str">
        <f>_xlfn.CONCAT("PS388","-",'Banco de Dados'!F217,"/","PSV5000","-",'Banco de Dados'!G217,"/","FLASH100","-",'Banco de Dados'!H217)</f>
        <v>PS388-Não Disponível/PSV5000-/FLASH100-002E57F6</v>
      </c>
    </row>
    <row r="218" spans="1:5" x14ac:dyDescent="0.25">
      <c r="A218" s="1" t="s">
        <v>869</v>
      </c>
      <c r="B218" s="1" t="str">
        <f>'Banco de Dados'!J218</f>
        <v>9W0F0-E55-A06</v>
      </c>
      <c r="C218" s="1" t="str">
        <f>'Banco de Dados'!D218</f>
        <v>PUNISHER_WHL</v>
      </c>
      <c r="D218" s="1" t="str">
        <f>'Banco de Dados'!L218</f>
        <v>A06(1.7.1)</v>
      </c>
      <c r="E218" s="59" t="str">
        <f>_xlfn.CONCAT("PS388","-",'Banco de Dados'!F218,"/","PSV5000","-",'Banco de Dados'!G218,"/","FLASH100","-",'Banco de Dados'!H218)</f>
        <v>PS388-/PSV5000-C40F057A/FLASH100-C40F057A</v>
      </c>
    </row>
    <row r="219" spans="1:5" x14ac:dyDescent="0.25">
      <c r="A219" s="1" t="s">
        <v>870</v>
      </c>
      <c r="B219" s="1" t="str">
        <f>'Banco de Dados'!J219</f>
        <v>9W0F0-E55-A06</v>
      </c>
      <c r="C219" s="1" t="str">
        <f>'Banco de Dados'!D219</f>
        <v>PUNISHER_WHL</v>
      </c>
      <c r="D219" s="1" t="str">
        <f>'Banco de Dados'!L219</f>
        <v>A06(1.7.1)</v>
      </c>
      <c r="E219" s="59" t="str">
        <f>_xlfn.CONCAT("PS388","-",'Banco de Dados'!F219,"/","PSV5000","-",'Banco de Dados'!G219,"/","FLASH100","-",'Banco de Dados'!H219)</f>
        <v>PS388-/PSV5000-C417FC7A/FLASH100-C417FC7A</v>
      </c>
    </row>
    <row r="220" spans="1:5" x14ac:dyDescent="0.25">
      <c r="A220" s="1" t="s">
        <v>871</v>
      </c>
      <c r="B220" s="1" t="str">
        <f>'Banco de Dados'!J220</f>
        <v>9W0F0-E55-A06</v>
      </c>
      <c r="C220" s="1" t="str">
        <f>'Banco de Dados'!D220</f>
        <v>PUNISHER_WHL</v>
      </c>
      <c r="D220" s="1" t="str">
        <f>'Banco de Dados'!L220</f>
        <v>A06(1.7.1)</v>
      </c>
      <c r="E220" s="59" t="str">
        <f>_xlfn.CONCAT("PS388","-",'Banco de Dados'!F220,"/","PSV5000","-",'Banco de Dados'!G220,"/","FLASH100","-",'Banco de Dados'!H220)</f>
        <v>PS388-/PSV5000-C40C087A/FLASH100-C40C087A</v>
      </c>
    </row>
    <row r="221" spans="1:5" x14ac:dyDescent="0.25">
      <c r="A221" s="1" t="s">
        <v>872</v>
      </c>
      <c r="B221" s="1" t="str">
        <f>'Banco de Dados'!J221</f>
        <v>SCALAR-U3900-WHL</v>
      </c>
      <c r="C221" s="1" t="str">
        <f>'Banco de Dados'!D221</f>
        <v>PUNISHER_WHL</v>
      </c>
      <c r="D221" s="1" t="str">
        <f>'Banco de Dados'!L221</f>
        <v>N/A</v>
      </c>
      <c r="E221" s="59" t="str">
        <f>_xlfn.CONCAT("PS388","-",'Banco de Dados'!F221,"/","PSV5000","-",'Banco de Dados'!G221,"/","FLASH100","-",'Banco de Dados'!H221)</f>
        <v>PS388-/PSV5000-001375B7/FLASH100-001375B7</v>
      </c>
    </row>
    <row r="222" spans="1:5" x14ac:dyDescent="0.25">
      <c r="A222" s="1" t="s">
        <v>872</v>
      </c>
      <c r="B222" s="1" t="str">
        <f>'Banco de Dados'!J222</f>
        <v>SCALAR-U3900-WHL</v>
      </c>
      <c r="C222" s="1" t="str">
        <f>'Banco de Dados'!D222</f>
        <v>PUNISHER_WHL</v>
      </c>
      <c r="D222" s="1" t="str">
        <f>'Banco de Dados'!L222</f>
        <v>N/A</v>
      </c>
      <c r="E222" s="59" t="str">
        <f>_xlfn.CONCAT("PS388","-",'Banco de Dados'!F222,"/","PSV5000","-",'Banco de Dados'!G222,"/","FLASH100","-",'Banco de Dados'!H222)</f>
        <v>PS388-/PSV5000-001375B7/FLASH100-001375B7</v>
      </c>
    </row>
    <row r="223" spans="1:5" x14ac:dyDescent="0.25">
      <c r="A223" s="1" t="s">
        <v>869</v>
      </c>
      <c r="B223" s="1" t="str">
        <f>'Banco de Dados'!J223</f>
        <v>9W0F0-E55-A06</v>
      </c>
      <c r="C223" s="1" t="str">
        <f>'Banco de Dados'!D223</f>
        <v>PUNISHER_WHL</v>
      </c>
      <c r="D223" s="1" t="str">
        <f>'Banco de Dados'!L223</f>
        <v>A06(1.7.1)</v>
      </c>
      <c r="E223" s="59" t="str">
        <f>_xlfn.CONCAT("PS388","-",'Banco de Dados'!F223,"/","PSV5000","-",'Banco de Dados'!G223,"/","FLASH100","-",'Banco de Dados'!H223)</f>
        <v>PS388-/PSV5000-C40F057A/FLASH100-C40F057A</v>
      </c>
    </row>
    <row r="224" spans="1:5" x14ac:dyDescent="0.25">
      <c r="A224" s="1" t="s">
        <v>870</v>
      </c>
      <c r="B224" s="1" t="str">
        <f>'Banco de Dados'!J224</f>
        <v>9W0F0-E55-A06</v>
      </c>
      <c r="C224" s="1" t="str">
        <f>'Banco de Dados'!D224</f>
        <v>PUNISHER_WHL</v>
      </c>
      <c r="D224" s="1" t="str">
        <f>'Banco de Dados'!L224</f>
        <v>A06(1.7.1)</v>
      </c>
      <c r="E224" s="59" t="str">
        <f>_xlfn.CONCAT("PS388","-",'Banco de Dados'!F224,"/","PSV5000","-",'Banco de Dados'!G224,"/","FLASH100","-",'Banco de Dados'!H224)</f>
        <v>PS388-/PSV5000-C417FC7A/FLASH100-C417FC7A</v>
      </c>
    </row>
    <row r="225" spans="1:5" x14ac:dyDescent="0.25">
      <c r="A225" s="1" t="s">
        <v>871</v>
      </c>
      <c r="B225" s="1" t="str">
        <f>'Banco de Dados'!J225</f>
        <v>9W0F0-E55-A06</v>
      </c>
      <c r="C225" s="1" t="str">
        <f>'Banco de Dados'!D225</f>
        <v>PUNISHER_WHL</v>
      </c>
      <c r="D225" s="1" t="str">
        <f>'Banco de Dados'!L225</f>
        <v>A06(1.7.1)</v>
      </c>
      <c r="E225" s="59" t="str">
        <f>_xlfn.CONCAT("PS388","-",'Banco de Dados'!F225,"/","PSV5000","-",'Banco de Dados'!G225,"/","FLASH100","-",'Banco de Dados'!H225)</f>
        <v>PS388-/PSV5000-C40C087A/FLASH100-C40C087A</v>
      </c>
    </row>
    <row r="226" spans="1:5" x14ac:dyDescent="0.25">
      <c r="A226" s="1" t="s">
        <v>872</v>
      </c>
      <c r="B226" s="1" t="str">
        <f>'Banco de Dados'!J226</f>
        <v>SCALAR-U3900-WHL</v>
      </c>
      <c r="C226" s="1" t="str">
        <f>'Banco de Dados'!D226</f>
        <v>PUNISHER_WHL</v>
      </c>
      <c r="D226" s="1" t="str">
        <f>'Banco de Dados'!L226</f>
        <v>N/A</v>
      </c>
      <c r="E226" s="59" t="str">
        <f>_xlfn.CONCAT("PS388","-",'Banco de Dados'!F226,"/","PSV5000","-",'Banco de Dados'!G226,"/","FLASH100","-",'Banco de Dados'!H226)</f>
        <v>PS388-/PSV5000-001375B7/FLASH100-001375B7</v>
      </c>
    </row>
    <row r="227" spans="1:5" x14ac:dyDescent="0.25">
      <c r="A227" s="1" t="s">
        <v>872</v>
      </c>
      <c r="B227" s="1" t="str">
        <f>'Banco de Dados'!J227</f>
        <v>SCALAR-U3900-WHL</v>
      </c>
      <c r="C227" s="1" t="str">
        <f>'Banco de Dados'!D227</f>
        <v>PUNISHER_WHL</v>
      </c>
      <c r="D227" s="1" t="str">
        <f>'Banco de Dados'!L227</f>
        <v>N/A</v>
      </c>
      <c r="E227" s="59" t="str">
        <f>_xlfn.CONCAT("PS388","-",'Banco de Dados'!F227,"/","PSV5000","-",'Banco de Dados'!G227,"/","FLASH100","-",'Banco de Dados'!H227)</f>
        <v>PS388-/PSV5000-001375B7/FLASH100-001375B7</v>
      </c>
    </row>
    <row r="228" spans="1:5" x14ac:dyDescent="0.25">
      <c r="A228" s="1" t="s">
        <v>869</v>
      </c>
      <c r="B228" s="1" t="str">
        <f>'Banco de Dados'!J228</f>
        <v>9W0F0-E55-A06</v>
      </c>
      <c r="C228" s="1" t="str">
        <f>'Banco de Dados'!D228</f>
        <v>PUNISHER_WHL</v>
      </c>
      <c r="D228" s="1" t="str">
        <f>'Banco de Dados'!L228</f>
        <v>A06(1.7.1)</v>
      </c>
      <c r="E228" s="59" t="str">
        <f>_xlfn.CONCAT("PS388","-",'Banco de Dados'!F228,"/","PSV5000","-",'Banco de Dados'!G228,"/","FLASH100","-",'Banco de Dados'!H228)</f>
        <v>PS388-/PSV5000-C40F057A/FLASH100-C40F057A</v>
      </c>
    </row>
    <row r="229" spans="1:5" x14ac:dyDescent="0.25">
      <c r="A229" s="1" t="s">
        <v>870</v>
      </c>
      <c r="B229" s="1" t="str">
        <f>'Banco de Dados'!J229</f>
        <v>9W0F0-E55-A06</v>
      </c>
      <c r="C229" s="1" t="str">
        <f>'Banco de Dados'!D229</f>
        <v>PUNISHER_WHL</v>
      </c>
      <c r="D229" s="1" t="str">
        <f>'Banco de Dados'!L229</f>
        <v>A06(1.7.1)</v>
      </c>
      <c r="E229" s="59" t="str">
        <f>_xlfn.CONCAT("PS388","-",'Banco de Dados'!F229,"/","PSV5000","-",'Banco de Dados'!G229,"/","FLASH100","-",'Banco de Dados'!H229)</f>
        <v>PS388-/PSV5000-C417FC7A/FLASH100-C417FC7A</v>
      </c>
    </row>
    <row r="230" spans="1:5" x14ac:dyDescent="0.25">
      <c r="A230" s="1" t="s">
        <v>871</v>
      </c>
      <c r="B230" s="1" t="str">
        <f>'Banco de Dados'!J230</f>
        <v>9W0F0-E55-A06</v>
      </c>
      <c r="C230" s="1" t="str">
        <f>'Banco de Dados'!D230</f>
        <v>PUNISHER_WHL</v>
      </c>
      <c r="D230" s="1" t="str">
        <f>'Banco de Dados'!L230</f>
        <v>A06(1.7.1)</v>
      </c>
      <c r="E230" s="59" t="str">
        <f>_xlfn.CONCAT("PS388","-",'Banco de Dados'!F230,"/","PSV5000","-",'Banco de Dados'!G230,"/","FLASH100","-",'Banco de Dados'!H230)</f>
        <v>PS388-/PSV5000-C40C087A/FLASH100-C40C087A</v>
      </c>
    </row>
    <row r="231" spans="1:5" x14ac:dyDescent="0.25">
      <c r="A231" s="1" t="s">
        <v>872</v>
      </c>
      <c r="B231" s="1" t="str">
        <f>'Banco de Dados'!J231</f>
        <v>SCALAR-U3900-WHL</v>
      </c>
      <c r="C231" s="1" t="str">
        <f>'Banco de Dados'!D231</f>
        <v>PUNISHER_WHL</v>
      </c>
      <c r="D231" s="1" t="str">
        <f>'Banco de Dados'!L231</f>
        <v>N/A</v>
      </c>
      <c r="E231" s="59" t="str">
        <f>_xlfn.CONCAT("PS388","-",'Banco de Dados'!F231,"/","PSV5000","-",'Banco de Dados'!G231,"/","FLASH100","-",'Banco de Dados'!H231)</f>
        <v>PS388-/PSV5000-001375B7/FLASH100-001375B7</v>
      </c>
    </row>
    <row r="232" spans="1:5" x14ac:dyDescent="0.25">
      <c r="A232" s="1" t="s">
        <v>872</v>
      </c>
      <c r="B232" s="1" t="str">
        <f>'Banco de Dados'!J232</f>
        <v>SCALAR-U3900-WHL</v>
      </c>
      <c r="C232" s="1" t="str">
        <f>'Banco de Dados'!D232</f>
        <v>PUNISHER_WHL</v>
      </c>
      <c r="D232" s="1" t="str">
        <f>'Banco de Dados'!L232</f>
        <v>N/A</v>
      </c>
      <c r="E232" s="59" t="str">
        <f>_xlfn.CONCAT("PS388","-",'Banco de Dados'!F232,"/","PSV5000","-",'Banco de Dados'!G232,"/","FLASH100","-",'Banco de Dados'!H232)</f>
        <v>PS388-/PSV5000-001375B7/FLASH100-001375B7</v>
      </c>
    </row>
    <row r="233" spans="1:5" x14ac:dyDescent="0.25">
      <c r="A233" s="1" t="s">
        <v>869</v>
      </c>
      <c r="B233" s="1" t="str">
        <f>'Banco de Dados'!J233</f>
        <v>9W0F0-E55-A06</v>
      </c>
      <c r="C233" s="1" t="str">
        <f>'Banco de Dados'!D233</f>
        <v>PUNISHER_WHL</v>
      </c>
      <c r="D233" s="1" t="str">
        <f>'Banco de Dados'!L233</f>
        <v>A06(1.7.1)</v>
      </c>
      <c r="E233" s="59" t="str">
        <f>_xlfn.CONCAT("PS388","-",'Banco de Dados'!F233,"/","PSV5000","-",'Banco de Dados'!G233,"/","FLASH100","-",'Banco de Dados'!H233)</f>
        <v>PS388-/PSV5000-C40F057A/FLASH100-C40F057A</v>
      </c>
    </row>
    <row r="234" spans="1:5" x14ac:dyDescent="0.25">
      <c r="A234" s="1" t="s">
        <v>870</v>
      </c>
      <c r="B234" s="1" t="str">
        <f>'Banco de Dados'!J234</f>
        <v>9W0F0-E55-A06</v>
      </c>
      <c r="C234" s="1" t="str">
        <f>'Banco de Dados'!D234</f>
        <v>PUNISHER_WHL</v>
      </c>
      <c r="D234" s="1" t="str">
        <f>'Banco de Dados'!L234</f>
        <v>A06(1.7.1)</v>
      </c>
      <c r="E234" s="59" t="str">
        <f>_xlfn.CONCAT("PS388","-",'Banco de Dados'!F234,"/","PSV5000","-",'Banco de Dados'!G234,"/","FLASH100","-",'Banco de Dados'!H234)</f>
        <v>PS388-/PSV5000-C417FC7A/FLASH100-C417FC7A</v>
      </c>
    </row>
    <row r="235" spans="1:5" x14ac:dyDescent="0.25">
      <c r="A235" s="1" t="s">
        <v>871</v>
      </c>
      <c r="B235" s="1" t="str">
        <f>'Banco de Dados'!J235</f>
        <v>9W0F0-E55-A06</v>
      </c>
      <c r="C235" s="1" t="str">
        <f>'Banco de Dados'!D235</f>
        <v>PUNISHER_WHL</v>
      </c>
      <c r="D235" s="1" t="str">
        <f>'Banco de Dados'!L235</f>
        <v>A06(1.7.1)</v>
      </c>
      <c r="E235" s="59" t="str">
        <f>_xlfn.CONCAT("PS388","-",'Banco de Dados'!F235,"/","PSV5000","-",'Banco de Dados'!G235,"/","FLASH100","-",'Banco de Dados'!H235)</f>
        <v>PS388-/PSV5000-C40C087A/FLASH100-C40C087A</v>
      </c>
    </row>
    <row r="236" spans="1:5" x14ac:dyDescent="0.25">
      <c r="A236" s="1" t="s">
        <v>872</v>
      </c>
      <c r="B236" s="1" t="str">
        <f>'Banco de Dados'!J236</f>
        <v>SCALAR-U3900-WHL</v>
      </c>
      <c r="C236" s="1" t="str">
        <f>'Banco de Dados'!D236</f>
        <v>PUNISHER_WHL</v>
      </c>
      <c r="D236" s="1" t="str">
        <f>'Banco de Dados'!L236</f>
        <v>N/A</v>
      </c>
      <c r="E236" s="59" t="str">
        <f>_xlfn.CONCAT("PS388","-",'Banco de Dados'!F236,"/","PSV5000","-",'Banco de Dados'!G236,"/","FLASH100","-",'Banco de Dados'!H236)</f>
        <v>PS388-/PSV5000-001375B7/FLASH100-001375B7</v>
      </c>
    </row>
    <row r="237" spans="1:5" x14ac:dyDescent="0.25">
      <c r="A237" s="1" t="s">
        <v>872</v>
      </c>
      <c r="B237" s="1" t="str">
        <f>'Banco de Dados'!J237</f>
        <v>SCALAR-U3900-WHL</v>
      </c>
      <c r="C237" s="1" t="str">
        <f>'Banco de Dados'!D237</f>
        <v>PUNISHER_WHL</v>
      </c>
      <c r="D237" s="1" t="str">
        <f>'Banco de Dados'!L237</f>
        <v>N/A</v>
      </c>
      <c r="E237" s="59" t="str">
        <f>_xlfn.CONCAT("PS388","-",'Banco de Dados'!F237,"/","PSV5000","-",'Banco de Dados'!G237,"/","FLASH100","-",'Banco de Dados'!H237)</f>
        <v>PS388-/PSV5000-001375B7/FLASH100-001375B7</v>
      </c>
    </row>
    <row r="238" spans="1:5" x14ac:dyDescent="0.25">
      <c r="A238" s="1" t="s">
        <v>873</v>
      </c>
      <c r="B238" s="1" t="str">
        <f>'Banco de Dados'!J238</f>
        <v>P8GN1-F3U1-A01</v>
      </c>
      <c r="C238" s="1" t="str">
        <f>'Banco de Dados'!D238</f>
        <v>TURTLE_BAY_CFL_R</v>
      </c>
      <c r="D238" s="1" t="str">
        <f>'Banco de Dados'!L238</f>
        <v>A01 (2.2.0)</v>
      </c>
      <c r="E238" s="59" t="str">
        <f>_xlfn.CONCAT("PS388","-",'Banco de Dados'!F238,"/","PSV5000","-",'Banco de Dados'!G238,"/","FLASH100","-",'Banco de Dados'!H238)</f>
        <v>PS388-D1451CE0/PSV5000-98055ED3/FLASH100-98075CD3</v>
      </c>
    </row>
    <row r="239" spans="1:5" x14ac:dyDescent="0.25">
      <c r="A239" s="1" t="s">
        <v>874</v>
      </c>
      <c r="B239" s="1" t="str">
        <f>'Banco de Dados'!J239</f>
        <v>PV48C-U19-A05</v>
      </c>
      <c r="C239" s="1" t="str">
        <f>'Banco de Dados'!D239</f>
        <v>COLOSSUS_CML</v>
      </c>
      <c r="D239" s="1" t="str">
        <f>'Banco de Dados'!L239</f>
        <v>A05(1.5.0)</v>
      </c>
      <c r="E239" s="59" t="str">
        <f>_xlfn.CONCAT("PS388","-",'Banco de Dados'!F239,"/","PSV5000","-",'Banco de Dados'!G239,"/","FLASH100","-",'Banco de Dados'!H239)</f>
        <v>PS388-/PSV5000-B41EA756/FLASH100-B421A456</v>
      </c>
    </row>
    <row r="240" spans="1:5" x14ac:dyDescent="0.25">
      <c r="A240" s="1" t="s">
        <v>874</v>
      </c>
      <c r="B240" s="1" t="str">
        <f>'Banco de Dados'!J240</f>
        <v>PV48C-U19-A05</v>
      </c>
      <c r="C240" s="1" t="str">
        <f>'Banco de Dados'!D240</f>
        <v>COLOSSUS_CML</v>
      </c>
      <c r="D240" s="1" t="str">
        <f>'Banco de Dados'!L240</f>
        <v>A05(1.5.0)</v>
      </c>
      <c r="E240" s="59" t="str">
        <f>_xlfn.CONCAT("PS388","-",'Banco de Dados'!F240,"/","PSV5000","-",'Banco de Dados'!G240,"/","FLASH100","-",'Banco de Dados'!H240)</f>
        <v>PS388-/PSV5000-B41EA756/FLASH100-B421A456</v>
      </c>
    </row>
    <row r="241" spans="1:5" x14ac:dyDescent="0.25">
      <c r="A241" s="1" t="s">
        <v>875</v>
      </c>
      <c r="B241" s="1" t="str">
        <f>'Banco de Dados'!J241</f>
        <v>SCALAR_NW-U101-A00</v>
      </c>
      <c r="C241" s="1" t="str">
        <f>'Banco de Dados'!D241</f>
        <v>COLOSSUS_CML</v>
      </c>
      <c r="D241" s="1" t="str">
        <f>'Banco de Dados'!L241</f>
        <v>V11</v>
      </c>
      <c r="E241" s="59" t="str">
        <f>_xlfn.CONCAT("PS388","-",'Banco de Dados'!F241,"/","PSV5000","-",'Banco de Dados'!G241,"/","FLASH100","-",'Banco de Dados'!H241)</f>
        <v>PS388-/PSV5000-05AF5BE2/FLASH100-05AF5BE2</v>
      </c>
    </row>
    <row r="242" spans="1:5" x14ac:dyDescent="0.25">
      <c r="A242" s="1" t="s">
        <v>875</v>
      </c>
      <c r="B242" s="1" t="str">
        <f>'Banco de Dados'!J242</f>
        <v>SCALAR_NW-U101-A00</v>
      </c>
      <c r="C242" s="1" t="str">
        <f>'Banco de Dados'!D242</f>
        <v>COLOSSUS_CML</v>
      </c>
      <c r="D242" s="1" t="str">
        <f>'Banco de Dados'!L242</f>
        <v>V11</v>
      </c>
      <c r="E242" s="59" t="str">
        <f>_xlfn.CONCAT("PS388","-",'Banco de Dados'!F242,"/","PSV5000","-",'Banco de Dados'!G242,"/","FLASH100","-",'Banco de Dados'!H242)</f>
        <v>PS388-/PSV5000-05AF5BE2/FLASH100-05AF5BE2</v>
      </c>
    </row>
    <row r="243" spans="1:5" x14ac:dyDescent="0.25">
      <c r="A243" s="1" t="s">
        <v>876</v>
      </c>
      <c r="B243" s="1" t="str">
        <f>'Banco de Dados'!J243</f>
        <v>INT_EDID-U103-A00</v>
      </c>
      <c r="C243" s="1" t="str">
        <f>'Banco de Dados'!D243</f>
        <v>COLOSSUS_CML</v>
      </c>
      <c r="D243" s="1" t="str">
        <f>'Banco de Dados'!L243</f>
        <v>N/A</v>
      </c>
      <c r="E243" s="59" t="str">
        <f>_xlfn.CONCAT("PS388","-",'Banco de Dados'!F243,"/","PSV5000","-",'Banco de Dados'!G243,"/","FLASH100","-",'Banco de Dados'!H243)</f>
        <v>PS388-/PSV5000-00FE4300/FLASH100-00004200</v>
      </c>
    </row>
    <row r="244" spans="1:5" x14ac:dyDescent="0.25">
      <c r="A244" s="1" t="s">
        <v>876</v>
      </c>
      <c r="B244" s="1" t="str">
        <f>'Banco de Dados'!J244</f>
        <v>INT_EDID-U103-A00</v>
      </c>
      <c r="C244" s="1" t="str">
        <f>'Banco de Dados'!D244</f>
        <v>COLOSSUS_CML</v>
      </c>
      <c r="D244" s="1" t="str">
        <f>'Banco de Dados'!L244</f>
        <v>N/A</v>
      </c>
      <c r="E244" s="59" t="str">
        <f>_xlfn.CONCAT("PS388","-",'Banco de Dados'!F244,"/","PSV5000","-",'Banco de Dados'!G244,"/","FLASH100","-",'Banco de Dados'!H244)</f>
        <v>PS388-/PSV5000-00FE4300/FLASH100-00004200</v>
      </c>
    </row>
    <row r="245" spans="1:5" x14ac:dyDescent="0.25">
      <c r="A245" s="1" t="s">
        <v>877</v>
      </c>
      <c r="B245" s="1" t="str">
        <f>'Banco de Dados'!J245</f>
        <v>EXT_EDID-U104-A00</v>
      </c>
      <c r="C245" s="1" t="str">
        <f>'Banco de Dados'!D245</f>
        <v>COLOSSUS_CML</v>
      </c>
      <c r="D245" s="1" t="str">
        <f>'Banco de Dados'!L245</f>
        <v>V1</v>
      </c>
      <c r="E245" s="59" t="str">
        <f>_xlfn.CONCAT("PS388","-",'Banco de Dados'!F245,"/","PSV5000","-",'Banco de Dados'!G245,"/","FLASH100","-",'Banco de Dados'!H245)</f>
        <v>PS388-/PSV5000-00FE4200/FLASH100-00004100</v>
      </c>
    </row>
    <row r="246" spans="1:5" x14ac:dyDescent="0.25">
      <c r="A246" s="1" t="s">
        <v>877</v>
      </c>
      <c r="B246" s="1" t="str">
        <f>'Banco de Dados'!J246</f>
        <v>EXT_EDID-U104-A00</v>
      </c>
      <c r="C246" s="1" t="str">
        <f>'Banco de Dados'!D246</f>
        <v>COLOSSUS_CML</v>
      </c>
      <c r="D246" s="1" t="str">
        <f>'Banco de Dados'!L246</f>
        <v>V1</v>
      </c>
      <c r="E246" s="59" t="str">
        <f>_xlfn.CONCAT("PS388","-",'Banco de Dados'!F246,"/","PSV5000","-",'Banco de Dados'!G246,"/","FLASH100","-",'Banco de Dados'!H246)</f>
        <v>PS388-/PSV5000-00FE4200/FLASH100-00004100</v>
      </c>
    </row>
    <row r="247" spans="1:5" x14ac:dyDescent="0.25">
      <c r="A247" s="1" t="s">
        <v>878</v>
      </c>
      <c r="B247" s="1" t="str">
        <f>'Banco de Dados'!J247</f>
        <v>HDCP-U102-A00</v>
      </c>
      <c r="C247" s="1" t="str">
        <f>'Banco de Dados'!D247</f>
        <v>COLOSSUS_CML</v>
      </c>
      <c r="D247" s="1" t="str">
        <f>'Banco de Dados'!L247</f>
        <v>N/A</v>
      </c>
      <c r="E247" s="59" t="str">
        <f>_xlfn.CONCAT("PS388","-",'Banco de Dados'!F247,"/","PSV5000","-",'Banco de Dados'!G247,"/","FLASH100","-",'Banco de Dados'!H247)</f>
        <v>PS388-/PSV5000-/FLASH100-00007B7C</v>
      </c>
    </row>
    <row r="248" spans="1:5" x14ac:dyDescent="0.25">
      <c r="A248" s="1" t="s">
        <v>874</v>
      </c>
      <c r="B248" s="1" t="str">
        <f>'Banco de Dados'!J248</f>
        <v>PV48C-U19-A05</v>
      </c>
      <c r="C248" s="1" t="str">
        <f>'Banco de Dados'!D248</f>
        <v>COLOSSUS_CML</v>
      </c>
      <c r="D248" s="1" t="str">
        <f>'Banco de Dados'!L248</f>
        <v>A05(1.5.0)</v>
      </c>
      <c r="E248" s="59" t="str">
        <f>_xlfn.CONCAT("PS388","-",'Banco de Dados'!F248,"/","PSV5000","-",'Banco de Dados'!G248,"/","FLASH100","-",'Banco de Dados'!H248)</f>
        <v>PS388-/PSV5000-B41EA756/FLASH100-B421A456</v>
      </c>
    </row>
    <row r="249" spans="1:5" x14ac:dyDescent="0.25">
      <c r="A249" s="1" t="s">
        <v>874</v>
      </c>
      <c r="B249" s="1" t="str">
        <f>'Banco de Dados'!J249</f>
        <v>PV48C-U19-A05</v>
      </c>
      <c r="C249" s="1" t="str">
        <f>'Banco de Dados'!D249</f>
        <v>COLOSSUS_CML</v>
      </c>
      <c r="D249" s="1" t="str">
        <f>'Banco de Dados'!L249</f>
        <v>A05(1.5.0)</v>
      </c>
      <c r="E249" s="59" t="str">
        <f>_xlfn.CONCAT("PS388","-",'Banco de Dados'!F249,"/","PSV5000","-",'Banco de Dados'!G249,"/","FLASH100","-",'Banco de Dados'!H249)</f>
        <v>PS388-/PSV5000-B41EA756/FLASH100-B421A456</v>
      </c>
    </row>
    <row r="250" spans="1:5" x14ac:dyDescent="0.25">
      <c r="A250" s="1" t="s">
        <v>875</v>
      </c>
      <c r="B250" s="1" t="str">
        <f>'Banco de Dados'!J250</f>
        <v>SCALAR_NW-U101-A00</v>
      </c>
      <c r="C250" s="1" t="str">
        <f>'Banco de Dados'!D250</f>
        <v>COLOSSUS_CML</v>
      </c>
      <c r="D250" s="1" t="str">
        <f>'Banco de Dados'!L250</f>
        <v>V11</v>
      </c>
      <c r="E250" s="59" t="str">
        <f>_xlfn.CONCAT("PS388","-",'Banco de Dados'!F250,"/","PSV5000","-",'Banco de Dados'!G250,"/","FLASH100","-",'Banco de Dados'!H250)</f>
        <v>PS388-/PSV5000-05AF5BE2/FLASH100-05AF5BE2</v>
      </c>
    </row>
    <row r="251" spans="1:5" x14ac:dyDescent="0.25">
      <c r="A251" s="1" t="s">
        <v>875</v>
      </c>
      <c r="B251" s="1" t="str">
        <f>'Banco de Dados'!J251</f>
        <v>SCALAR_NW-U101-A00</v>
      </c>
      <c r="C251" s="1" t="str">
        <f>'Banco de Dados'!D251</f>
        <v>COLOSSUS_CML</v>
      </c>
      <c r="D251" s="1" t="str">
        <f>'Banco de Dados'!L251</f>
        <v>V11</v>
      </c>
      <c r="E251" s="59" t="str">
        <f>_xlfn.CONCAT("PS388","-",'Banco de Dados'!F251,"/","PSV5000","-",'Banco de Dados'!G251,"/","FLASH100","-",'Banco de Dados'!H251)</f>
        <v>PS388-/PSV5000-05AF5BE2/FLASH100-05AF5BE2</v>
      </c>
    </row>
    <row r="252" spans="1:5" x14ac:dyDescent="0.25">
      <c r="A252" s="1" t="s">
        <v>876</v>
      </c>
      <c r="B252" s="1" t="str">
        <f>'Banco de Dados'!J252</f>
        <v>INT_EDID-U103-A00</v>
      </c>
      <c r="C252" s="1" t="str">
        <f>'Banco de Dados'!D252</f>
        <v>COLOSSUS_CML</v>
      </c>
      <c r="D252" s="1" t="str">
        <f>'Banco de Dados'!L252</f>
        <v>N/A</v>
      </c>
      <c r="E252" s="59" t="str">
        <f>_xlfn.CONCAT("PS388","-",'Banco de Dados'!F252,"/","PSV5000","-",'Banco de Dados'!G252,"/","FLASH100","-",'Banco de Dados'!H252)</f>
        <v>PS388-/PSV5000-00FE4300/FLASH100-00004200</v>
      </c>
    </row>
    <row r="253" spans="1:5" x14ac:dyDescent="0.25">
      <c r="A253" s="1" t="s">
        <v>876</v>
      </c>
      <c r="B253" s="1" t="str">
        <f>'Banco de Dados'!J253</f>
        <v>INT_EDID-U103-A00</v>
      </c>
      <c r="C253" s="1" t="str">
        <f>'Banco de Dados'!D253</f>
        <v>COLOSSUS_CML</v>
      </c>
      <c r="D253" s="1" t="str">
        <f>'Banco de Dados'!L253</f>
        <v>N/A</v>
      </c>
      <c r="E253" s="59" t="str">
        <f>_xlfn.CONCAT("PS388","-",'Banco de Dados'!F253,"/","PSV5000","-",'Banco de Dados'!G253,"/","FLASH100","-",'Banco de Dados'!H253)</f>
        <v>PS388-/PSV5000-00FE4300/FLASH100-00004200</v>
      </c>
    </row>
    <row r="254" spans="1:5" x14ac:dyDescent="0.25">
      <c r="A254" s="1" t="s">
        <v>877</v>
      </c>
      <c r="B254" s="1" t="str">
        <f>'Banco de Dados'!J254</f>
        <v>EXT_EDID-U104-A00</v>
      </c>
      <c r="C254" s="1" t="str">
        <f>'Banco de Dados'!D254</f>
        <v>COLOSSUS_CML</v>
      </c>
      <c r="D254" s="1" t="str">
        <f>'Banco de Dados'!L254</f>
        <v>V1</v>
      </c>
      <c r="E254" s="59" t="str">
        <f>_xlfn.CONCAT("PS388","-",'Banco de Dados'!F254,"/","PSV5000","-",'Banco de Dados'!G254,"/","FLASH100","-",'Banco de Dados'!H254)</f>
        <v>PS388-/PSV5000-00FE4200/FLASH100-00004100</v>
      </c>
    </row>
    <row r="255" spans="1:5" x14ac:dyDescent="0.25">
      <c r="A255" s="1" t="s">
        <v>877</v>
      </c>
      <c r="B255" s="1" t="str">
        <f>'Banco de Dados'!J255</f>
        <v>EXT_EDID-U104-A00</v>
      </c>
      <c r="C255" s="1" t="str">
        <f>'Banco de Dados'!D255</f>
        <v>COLOSSUS_CML</v>
      </c>
      <c r="D255" s="1" t="str">
        <f>'Banco de Dados'!L255</f>
        <v>V1</v>
      </c>
      <c r="E255" s="59" t="str">
        <f>_xlfn.CONCAT("PS388","-",'Banco de Dados'!F255,"/","PSV5000","-",'Banco de Dados'!G255,"/","FLASH100","-",'Banco de Dados'!H255)</f>
        <v>PS388-/PSV5000-00FE4200/FLASH100-00004100</v>
      </c>
    </row>
    <row r="256" spans="1:5" x14ac:dyDescent="0.25">
      <c r="A256" s="1" t="s">
        <v>878</v>
      </c>
      <c r="B256" s="1" t="str">
        <f>'Banco de Dados'!J256</f>
        <v>HDCP-U102-A00</v>
      </c>
      <c r="C256" s="1" t="str">
        <f>'Banco de Dados'!D256</f>
        <v>COLOSSUS_CML</v>
      </c>
      <c r="D256" s="1" t="str">
        <f>'Banco de Dados'!L256</f>
        <v>N/A</v>
      </c>
      <c r="E256" s="59" t="str">
        <f>_xlfn.CONCAT("PS388","-",'Banco de Dados'!F256,"/","PSV5000","-",'Banco de Dados'!G256,"/","FLASH100","-",'Banco de Dados'!H256)</f>
        <v>PS388-/PSV5000-/FLASH100-00007B7C</v>
      </c>
    </row>
    <row r="257" spans="1:5" x14ac:dyDescent="0.25">
      <c r="A257" s="1" t="s">
        <v>874</v>
      </c>
      <c r="B257" s="1" t="str">
        <f>'Banco de Dados'!J257</f>
        <v>PV48C-U19-A05</v>
      </c>
      <c r="C257" s="1" t="str">
        <f>'Banco de Dados'!D257</f>
        <v>COLOSSUS_CML</v>
      </c>
      <c r="D257" s="1" t="str">
        <f>'Banco de Dados'!L257</f>
        <v>A05(1.5.0)</v>
      </c>
      <c r="E257" s="59" t="str">
        <f>_xlfn.CONCAT("PS388","-",'Banco de Dados'!F257,"/","PSV5000","-",'Banco de Dados'!G257,"/","FLASH100","-",'Banco de Dados'!H257)</f>
        <v>PS388-/PSV5000-B41EA756/FLASH100-B421A456</v>
      </c>
    </row>
    <row r="258" spans="1:5" x14ac:dyDescent="0.25">
      <c r="A258" s="1" t="s">
        <v>874</v>
      </c>
      <c r="B258" s="1" t="str">
        <f>'Banco de Dados'!J258</f>
        <v>PV48C-U19-A05</v>
      </c>
      <c r="C258" s="1" t="str">
        <f>'Banco de Dados'!D258</f>
        <v>COLOSSUS_CML</v>
      </c>
      <c r="D258" s="1" t="str">
        <f>'Banco de Dados'!L258</f>
        <v>A05(1.5.0)</v>
      </c>
      <c r="E258" s="59" t="str">
        <f>_xlfn.CONCAT("PS388","-",'Banco de Dados'!F258,"/","PSV5000","-",'Banco de Dados'!G258,"/","FLASH100","-",'Banco de Dados'!H258)</f>
        <v>PS388-/PSV5000-B41EA756/FLASH100-B421A456</v>
      </c>
    </row>
    <row r="259" spans="1:5" x14ac:dyDescent="0.25">
      <c r="A259" s="1" t="s">
        <v>875</v>
      </c>
      <c r="B259" s="1" t="str">
        <f>'Banco de Dados'!J259</f>
        <v>SCALAR_NW-U101-A00</v>
      </c>
      <c r="C259" s="1" t="str">
        <f>'Banco de Dados'!D259</f>
        <v>COLOSSUS_CML</v>
      </c>
      <c r="D259" s="1" t="str">
        <f>'Banco de Dados'!L259</f>
        <v>V11</v>
      </c>
      <c r="E259" s="59" t="str">
        <f>_xlfn.CONCAT("PS388","-",'Banco de Dados'!F259,"/","PSV5000","-",'Banco de Dados'!G259,"/","FLASH100","-",'Banco de Dados'!H259)</f>
        <v>PS388-/PSV5000-05AF5BE2/FLASH100-05AF5BE2</v>
      </c>
    </row>
    <row r="260" spans="1:5" x14ac:dyDescent="0.25">
      <c r="A260" s="1" t="s">
        <v>875</v>
      </c>
      <c r="B260" s="1" t="str">
        <f>'Banco de Dados'!J260</f>
        <v>SCALAR_NW-U101-A00</v>
      </c>
      <c r="C260" s="1" t="str">
        <f>'Banco de Dados'!D260</f>
        <v>COLOSSUS_CML</v>
      </c>
      <c r="D260" s="1" t="str">
        <f>'Banco de Dados'!L260</f>
        <v>V11</v>
      </c>
      <c r="E260" s="59" t="str">
        <f>_xlfn.CONCAT("PS388","-",'Banco de Dados'!F260,"/","PSV5000","-",'Banco de Dados'!G260,"/","FLASH100","-",'Banco de Dados'!H260)</f>
        <v>PS388-/PSV5000-05AF5BE2/FLASH100-05AF5BE2</v>
      </c>
    </row>
    <row r="261" spans="1:5" x14ac:dyDescent="0.25">
      <c r="A261" s="1" t="s">
        <v>876</v>
      </c>
      <c r="B261" s="1" t="str">
        <f>'Banco de Dados'!J261</f>
        <v>INT_EDID-U103-A00</v>
      </c>
      <c r="C261" s="1" t="str">
        <f>'Banco de Dados'!D261</f>
        <v>COLOSSUS_CML</v>
      </c>
      <c r="D261" s="1" t="str">
        <f>'Banco de Dados'!L261</f>
        <v>N/A</v>
      </c>
      <c r="E261" s="59" t="str">
        <f>_xlfn.CONCAT("PS388","-",'Banco de Dados'!F261,"/","PSV5000","-",'Banco de Dados'!G261,"/","FLASH100","-",'Banco de Dados'!H261)</f>
        <v>PS388-/PSV5000-00FE4300/FLASH100-00004200</v>
      </c>
    </row>
    <row r="262" spans="1:5" x14ac:dyDescent="0.25">
      <c r="A262" s="1" t="s">
        <v>876</v>
      </c>
      <c r="B262" s="1" t="str">
        <f>'Banco de Dados'!J262</f>
        <v>INT_EDID-U103-A00</v>
      </c>
      <c r="C262" s="1" t="str">
        <f>'Banco de Dados'!D262</f>
        <v>COLOSSUS_CML</v>
      </c>
      <c r="D262" s="1" t="str">
        <f>'Banco de Dados'!L262</f>
        <v>N/A</v>
      </c>
      <c r="E262" s="59" t="str">
        <f>_xlfn.CONCAT("PS388","-",'Banco de Dados'!F262,"/","PSV5000","-",'Banco de Dados'!G262,"/","FLASH100","-",'Banco de Dados'!H262)</f>
        <v>PS388-/PSV5000-00FE4300/FLASH100-00004200</v>
      </c>
    </row>
    <row r="263" spans="1:5" x14ac:dyDescent="0.25">
      <c r="A263" s="1" t="s">
        <v>877</v>
      </c>
      <c r="B263" s="1" t="str">
        <f>'Banco de Dados'!J263</f>
        <v>EXT_EDID-U104-A00</v>
      </c>
      <c r="C263" s="1" t="str">
        <f>'Banco de Dados'!D263</f>
        <v>COLOSSUS_CML</v>
      </c>
      <c r="D263" s="1" t="str">
        <f>'Banco de Dados'!L263</f>
        <v>V1</v>
      </c>
      <c r="E263" s="59" t="str">
        <f>_xlfn.CONCAT("PS388","-",'Banco de Dados'!F263,"/","PSV5000","-",'Banco de Dados'!G263,"/","FLASH100","-",'Banco de Dados'!H263)</f>
        <v>PS388-/PSV5000-00FE4200/FLASH100-00004100</v>
      </c>
    </row>
    <row r="264" spans="1:5" x14ac:dyDescent="0.25">
      <c r="A264" s="1" t="s">
        <v>877</v>
      </c>
      <c r="B264" s="1" t="str">
        <f>'Banco de Dados'!J264</f>
        <v>EXT_EDID-U104-A00</v>
      </c>
      <c r="C264" s="1" t="str">
        <f>'Banco de Dados'!D264</f>
        <v>COLOSSUS_CML</v>
      </c>
      <c r="D264" s="1" t="str">
        <f>'Banco de Dados'!L264</f>
        <v>V1</v>
      </c>
      <c r="E264" s="59" t="str">
        <f>_xlfn.CONCAT("PS388","-",'Banco de Dados'!F264,"/","PSV5000","-",'Banco de Dados'!G264,"/","FLASH100","-",'Banco de Dados'!H264)</f>
        <v>PS388-/PSV5000-00FE4200/FLASH100-00004100</v>
      </c>
    </row>
    <row r="265" spans="1:5" x14ac:dyDescent="0.25">
      <c r="A265" s="1" t="s">
        <v>878</v>
      </c>
      <c r="B265" s="1" t="str">
        <f>'Banco de Dados'!J265</f>
        <v>HDCP-U102-A00</v>
      </c>
      <c r="C265" s="1" t="str">
        <f>'Banco de Dados'!D265</f>
        <v>COLOSSUS_CML</v>
      </c>
      <c r="D265" s="1" t="str">
        <f>'Banco de Dados'!L265</f>
        <v>N/A</v>
      </c>
      <c r="E265" s="59" t="str">
        <f>_xlfn.CONCAT("PS388","-",'Banco de Dados'!F265,"/","PSV5000","-",'Banco de Dados'!G265,"/","FLASH100","-",'Banco de Dados'!H265)</f>
        <v>PS388-/PSV5000-/FLASH100-00007B7C</v>
      </c>
    </row>
    <row r="266" spans="1:5" x14ac:dyDescent="0.25">
      <c r="A266" s="1" t="s">
        <v>879</v>
      </c>
      <c r="B266" s="1">
        <f>'Banco de Dados'!J266</f>
        <v>0</v>
      </c>
      <c r="C266" s="1">
        <f>'Banco de Dados'!D266</f>
        <v>0</v>
      </c>
      <c r="D266" s="1">
        <f>'Banco de Dados'!L266</f>
        <v>0</v>
      </c>
      <c r="E266" s="59" t="str">
        <f>_xlfn.CONCAT("PS388","-",'Banco de Dados'!F266,"/","PSV5000","-",'Banco de Dados'!G266,"/","FLASH100","-",'Banco de Dados'!H266)</f>
        <v>PS388-/PSV5000-/FLASH100-</v>
      </c>
    </row>
    <row r="267" spans="1:5" x14ac:dyDescent="0.25">
      <c r="A267" s="1" t="s">
        <v>879</v>
      </c>
      <c r="B267" s="1">
        <f>'Banco de Dados'!J267</f>
        <v>0</v>
      </c>
      <c r="C267" s="1">
        <f>'Banco de Dados'!D267</f>
        <v>0</v>
      </c>
      <c r="D267" s="1">
        <f>'Banco de Dados'!L267</f>
        <v>0</v>
      </c>
      <c r="E267" s="59" t="str">
        <f>_xlfn.CONCAT("PS388","-",'Banco de Dados'!F267,"/","PSV5000","-",'Banco de Dados'!G267,"/","FLASH100","-",'Banco de Dados'!H267)</f>
        <v>PS388-/PSV5000-/FLASH100-</v>
      </c>
    </row>
    <row r="268" spans="1:5" x14ac:dyDescent="0.25">
      <c r="A268" s="1" t="s">
        <v>879</v>
      </c>
      <c r="B268" s="1">
        <f>'Banco de Dados'!J268</f>
        <v>0</v>
      </c>
      <c r="C268" s="1">
        <f>'Banco de Dados'!D268</f>
        <v>0</v>
      </c>
      <c r="D268" s="1">
        <f>'Banco de Dados'!L268</f>
        <v>0</v>
      </c>
      <c r="E268" s="59" t="str">
        <f>_xlfn.CONCAT("PS388","-",'Banco de Dados'!F268,"/","PSV5000","-",'Banco de Dados'!G268,"/","FLASH100","-",'Banco de Dados'!H268)</f>
        <v>PS388-/PSV5000-/FLASH100-</v>
      </c>
    </row>
    <row r="269" spans="1:5" x14ac:dyDescent="0.25">
      <c r="A269" s="1" t="s">
        <v>879</v>
      </c>
      <c r="B269" s="1">
        <f>'Banco de Dados'!J269</f>
        <v>0</v>
      </c>
      <c r="C269" s="1">
        <f>'Banco de Dados'!D269</f>
        <v>0</v>
      </c>
      <c r="D269" s="1">
        <f>'Banco de Dados'!L269</f>
        <v>0</v>
      </c>
      <c r="E269" s="59" t="str">
        <f>_xlfn.CONCAT("PS388","-",'Banco de Dados'!F269,"/","PSV5000","-",'Banco de Dados'!G269,"/","FLASH100","-",'Banco de Dados'!H269)</f>
        <v>PS388-/PSV5000-/FLASH100-</v>
      </c>
    </row>
    <row r="270" spans="1:5" x14ac:dyDescent="0.25">
      <c r="A270" s="1" t="s">
        <v>879</v>
      </c>
      <c r="B270" s="1">
        <f>'Banco de Dados'!J270</f>
        <v>0</v>
      </c>
      <c r="C270" s="1">
        <f>'Banco de Dados'!D270</f>
        <v>0</v>
      </c>
      <c r="D270" s="1">
        <f>'Banco de Dados'!L270</f>
        <v>0</v>
      </c>
      <c r="E270" s="59" t="str">
        <f>_xlfn.CONCAT("PS388","-",'Banco de Dados'!F270,"/","PSV5000","-",'Banco de Dados'!G270,"/","FLASH100","-",'Banco de Dados'!H270)</f>
        <v>PS388-/PSV5000-/FLASH100-</v>
      </c>
    </row>
    <row r="271" spans="1:5" x14ac:dyDescent="0.25">
      <c r="A271" s="1" t="s">
        <v>879</v>
      </c>
      <c r="B271" s="1">
        <f>'Banco de Dados'!J271</f>
        <v>0</v>
      </c>
      <c r="C271" s="1">
        <f>'Banco de Dados'!D271</f>
        <v>0</v>
      </c>
      <c r="D271" s="1">
        <f>'Banco de Dados'!L271</f>
        <v>0</v>
      </c>
      <c r="E271" s="59" t="str">
        <f>_xlfn.CONCAT("PS388","-",'Banco de Dados'!F271,"/","PSV5000","-",'Banco de Dados'!G271,"/","FLASH100","-",'Banco de Dados'!H271)</f>
        <v>PS388-/PSV5000-/FLASH100-</v>
      </c>
    </row>
    <row r="272" spans="1:5" x14ac:dyDescent="0.25">
      <c r="A272" s="1" t="s">
        <v>879</v>
      </c>
      <c r="B272" s="1">
        <f>'Banco de Dados'!J272</f>
        <v>0</v>
      </c>
      <c r="C272" s="1">
        <f>'Banco de Dados'!D272</f>
        <v>0</v>
      </c>
      <c r="D272" s="1">
        <f>'Banco de Dados'!L272</f>
        <v>0</v>
      </c>
      <c r="E272" s="59" t="str">
        <f>_xlfn.CONCAT("PS388","-",'Banco de Dados'!F272,"/","PSV5000","-",'Banco de Dados'!G272,"/","FLASH100","-",'Banco de Dados'!H272)</f>
        <v>PS388-/PSV5000-/FLASH100-</v>
      </c>
    </row>
    <row r="273" spans="1:5" x14ac:dyDescent="0.25">
      <c r="A273" s="1" t="s">
        <v>879</v>
      </c>
      <c r="B273" s="1">
        <f>'Banco de Dados'!J273</f>
        <v>0</v>
      </c>
      <c r="C273" s="1">
        <f>'Banco de Dados'!D273</f>
        <v>0</v>
      </c>
      <c r="D273" s="1">
        <f>'Banco de Dados'!L273</f>
        <v>0</v>
      </c>
      <c r="E273" s="59" t="str">
        <f>_xlfn.CONCAT("PS388","-",'Banco de Dados'!F273,"/","PSV5000","-",'Banco de Dados'!G273,"/","FLASH100","-",'Banco de Dados'!H273)</f>
        <v>PS388-/PSV5000-/FLASH100-</v>
      </c>
    </row>
    <row r="274" spans="1:5" x14ac:dyDescent="0.25">
      <c r="A274" s="1" t="s">
        <v>879</v>
      </c>
      <c r="B274" s="1">
        <f>'Banco de Dados'!J274</f>
        <v>0</v>
      </c>
      <c r="C274" s="1">
        <f>'Banco de Dados'!D274</f>
        <v>0</v>
      </c>
      <c r="D274" s="1">
        <f>'Banco de Dados'!L274</f>
        <v>0</v>
      </c>
      <c r="E274" s="59" t="str">
        <f>_xlfn.CONCAT("PS388","-",'Banco de Dados'!F274,"/","PSV5000","-",'Banco de Dados'!G274,"/","FLASH100","-",'Banco de Dados'!H274)</f>
        <v>PS388-/PSV5000-/FLASH100-</v>
      </c>
    </row>
    <row r="275" spans="1:5" x14ac:dyDescent="0.25">
      <c r="A275" s="1" t="s">
        <v>879</v>
      </c>
      <c r="B275" s="1">
        <f>'Banco de Dados'!J275</f>
        <v>0</v>
      </c>
      <c r="C275" s="1">
        <f>'Banco de Dados'!D275</f>
        <v>0</v>
      </c>
      <c r="D275" s="1">
        <f>'Banco de Dados'!L275</f>
        <v>0</v>
      </c>
      <c r="E275" s="59" t="str">
        <f>_xlfn.CONCAT("PS388","-",'Banco de Dados'!F275,"/","PSV5000","-",'Banco de Dados'!G275,"/","FLASH100","-",'Banco de Dados'!H275)</f>
        <v>PS388-/PSV5000-/FLASH100-</v>
      </c>
    </row>
    <row r="276" spans="1:5" x14ac:dyDescent="0.25">
      <c r="A276" s="1" t="s">
        <v>879</v>
      </c>
      <c r="B276" s="1">
        <f>'Banco de Dados'!J276</f>
        <v>0</v>
      </c>
      <c r="C276" s="1">
        <f>'Banco de Dados'!D276</f>
        <v>0</v>
      </c>
      <c r="D276" s="1">
        <f>'Banco de Dados'!L276</f>
        <v>0</v>
      </c>
      <c r="E276" s="59" t="str">
        <f>_xlfn.CONCAT("PS388","-",'Banco de Dados'!F276,"/","PSV5000","-",'Banco de Dados'!G276,"/","FLASH100","-",'Banco de Dados'!H276)</f>
        <v>PS388-/PSV5000-/FLASH100-</v>
      </c>
    </row>
    <row r="277" spans="1:5" x14ac:dyDescent="0.25">
      <c r="A277" s="1" t="s">
        <v>879</v>
      </c>
      <c r="B277" s="1">
        <f>'Banco de Dados'!J277</f>
        <v>0</v>
      </c>
      <c r="C277" s="1">
        <f>'Banco de Dados'!D277</f>
        <v>0</v>
      </c>
      <c r="D277" s="1">
        <f>'Banco de Dados'!L277</f>
        <v>0</v>
      </c>
      <c r="E277" s="59" t="str">
        <f>_xlfn.CONCAT("PS388","-",'Banco de Dados'!F277,"/","PSV5000","-",'Banco de Dados'!G277,"/","FLASH100","-",'Banco de Dados'!H277)</f>
        <v>PS388-/PSV5000-/FLASH100-</v>
      </c>
    </row>
    <row r="278" spans="1:5" x14ac:dyDescent="0.25">
      <c r="A278" s="1" t="s">
        <v>879</v>
      </c>
      <c r="B278" s="1">
        <f>'Banco de Dados'!J278</f>
        <v>0</v>
      </c>
      <c r="C278" s="1">
        <f>'Banco de Dados'!D278</f>
        <v>0</v>
      </c>
      <c r="D278" s="1">
        <f>'Banco de Dados'!L278</f>
        <v>0</v>
      </c>
      <c r="E278" s="59" t="str">
        <f>_xlfn.CONCAT("PS388","-",'Banco de Dados'!F278,"/","PSV5000","-",'Banco de Dados'!G278,"/","FLASH100","-",'Banco de Dados'!H278)</f>
        <v>PS388-/PSV5000-/FLASH100-</v>
      </c>
    </row>
    <row r="279" spans="1:5" x14ac:dyDescent="0.25">
      <c r="A279" s="1" t="s">
        <v>879</v>
      </c>
      <c r="B279" s="1">
        <f>'Banco de Dados'!J279</f>
        <v>0</v>
      </c>
      <c r="C279" s="1">
        <f>'Banco de Dados'!D279</f>
        <v>0</v>
      </c>
      <c r="D279" s="1">
        <f>'Banco de Dados'!L279</f>
        <v>0</v>
      </c>
      <c r="E279" s="59" t="str">
        <f>_xlfn.CONCAT("PS388","-",'Banco de Dados'!F279,"/","PSV5000","-",'Banco de Dados'!G279,"/","FLASH100","-",'Banco de Dados'!H279)</f>
        <v>PS388-/PSV5000-/FLASH100-</v>
      </c>
    </row>
    <row r="280" spans="1:5" x14ac:dyDescent="0.25">
      <c r="A280" s="1" t="s">
        <v>879</v>
      </c>
      <c r="B280" s="1">
        <f>'Banco de Dados'!J280</f>
        <v>0</v>
      </c>
      <c r="C280" s="1">
        <f>'Banco de Dados'!D280</f>
        <v>0</v>
      </c>
      <c r="D280" s="1">
        <f>'Banco de Dados'!L280</f>
        <v>0</v>
      </c>
      <c r="E280" s="59" t="str">
        <f>_xlfn.CONCAT("PS388","-",'Banco de Dados'!F280,"/","PSV5000","-",'Banco de Dados'!G280,"/","FLASH100","-",'Banco de Dados'!H280)</f>
        <v>PS388-/PSV5000-/FLASH100-</v>
      </c>
    </row>
    <row r="281" spans="1:5" x14ac:dyDescent="0.25">
      <c r="A281" s="1" t="s">
        <v>879</v>
      </c>
      <c r="B281" s="1">
        <f>'Banco de Dados'!J281</f>
        <v>0</v>
      </c>
      <c r="C281" s="1">
        <f>'Banco de Dados'!D281</f>
        <v>0</v>
      </c>
      <c r="D281" s="1">
        <f>'Banco de Dados'!L281</f>
        <v>0</v>
      </c>
      <c r="E281" s="59" t="str">
        <f>_xlfn.CONCAT("PS388","-",'Banco de Dados'!F281,"/","PSV5000","-",'Banco de Dados'!G281,"/","FLASH100","-",'Banco de Dados'!H281)</f>
        <v>PS388-/PSV5000-/FLASH100-</v>
      </c>
    </row>
    <row r="282" spans="1:5" x14ac:dyDescent="0.25">
      <c r="A282" s="1" t="s">
        <v>879</v>
      </c>
      <c r="B282" s="1">
        <f>'Banco de Dados'!J282</f>
        <v>0</v>
      </c>
      <c r="C282" s="1">
        <f>'Banco de Dados'!D282</f>
        <v>0</v>
      </c>
      <c r="D282" s="1">
        <f>'Banco de Dados'!L282</f>
        <v>0</v>
      </c>
      <c r="E282" s="59" t="str">
        <f>_xlfn.CONCAT("PS388","-",'Banco de Dados'!F282,"/","PSV5000","-",'Banco de Dados'!G282,"/","FLASH100","-",'Banco de Dados'!H282)</f>
        <v>PS388-/PSV5000-/FLASH100-</v>
      </c>
    </row>
    <row r="283" spans="1:5" x14ac:dyDescent="0.25">
      <c r="A283" s="1" t="s">
        <v>879</v>
      </c>
      <c r="B283" s="1">
        <f>'Banco de Dados'!J283</f>
        <v>0</v>
      </c>
      <c r="C283" s="1">
        <f>'Banco de Dados'!D283</f>
        <v>0</v>
      </c>
      <c r="D283" s="1">
        <f>'Banco de Dados'!L283</f>
        <v>0</v>
      </c>
      <c r="E283" s="59" t="str">
        <f>_xlfn.CONCAT("PS388","-",'Banco de Dados'!F283,"/","PSV5000","-",'Banco de Dados'!G283,"/","FLASH100","-",'Banco de Dados'!H283)</f>
        <v>PS388-/PSV5000-/FLASH100-</v>
      </c>
    </row>
    <row r="284" spans="1:5" x14ac:dyDescent="0.25">
      <c r="A284" s="1" t="s">
        <v>879</v>
      </c>
      <c r="B284" s="1">
        <f>'Banco de Dados'!J284</f>
        <v>0</v>
      </c>
      <c r="C284" s="1">
        <f>'Banco de Dados'!D284</f>
        <v>0</v>
      </c>
      <c r="D284" s="1">
        <f>'Banco de Dados'!L284</f>
        <v>0</v>
      </c>
      <c r="E284" s="59" t="str">
        <f>_xlfn.CONCAT("PS388","-",'Banco de Dados'!F284,"/","PSV5000","-",'Banco de Dados'!G284,"/","FLASH100","-",'Banco de Dados'!H284)</f>
        <v>PS388-/PSV5000-/FLASH100-</v>
      </c>
    </row>
    <row r="285" spans="1:5" x14ac:dyDescent="0.25">
      <c r="A285" s="1" t="s">
        <v>879</v>
      </c>
      <c r="B285" s="1">
        <f>'Banco de Dados'!J285</f>
        <v>0</v>
      </c>
      <c r="C285" s="1">
        <f>'Banco de Dados'!D285</f>
        <v>0</v>
      </c>
      <c r="D285" s="1">
        <f>'Banco de Dados'!L285</f>
        <v>0</v>
      </c>
      <c r="E285" s="59" t="str">
        <f>_xlfn.CONCAT("PS388","-",'Banco de Dados'!F285,"/","PSV5000","-",'Banco de Dados'!G285,"/","FLASH100","-",'Banco de Dados'!H285)</f>
        <v>PS388-/PSV5000-/FLASH100-</v>
      </c>
    </row>
    <row r="286" spans="1:5" x14ac:dyDescent="0.25">
      <c r="A286" s="1" t="s">
        <v>879</v>
      </c>
      <c r="B286" s="1">
        <f>'Banco de Dados'!J286</f>
        <v>0</v>
      </c>
      <c r="C286" s="1">
        <f>'Banco de Dados'!D286</f>
        <v>0</v>
      </c>
      <c r="D286" s="1">
        <f>'Banco de Dados'!L286</f>
        <v>0</v>
      </c>
      <c r="E286" s="59" t="str">
        <f>_xlfn.CONCAT("PS388","-",'Banco de Dados'!F286,"/","PSV5000","-",'Banco de Dados'!G286,"/","FLASH100","-",'Banco de Dados'!H286)</f>
        <v>PS388-/PSV5000-/FLASH100-</v>
      </c>
    </row>
    <row r="287" spans="1:5" x14ac:dyDescent="0.25">
      <c r="A287" s="1" t="s">
        <v>879</v>
      </c>
      <c r="B287" s="1">
        <f>'Banco de Dados'!J287</f>
        <v>0</v>
      </c>
      <c r="C287" s="1">
        <f>'Banco de Dados'!D287</f>
        <v>0</v>
      </c>
      <c r="D287" s="1">
        <f>'Banco de Dados'!L287</f>
        <v>0</v>
      </c>
      <c r="E287" s="59" t="str">
        <f>_xlfn.CONCAT("PS388","-",'Banco de Dados'!F287,"/","PSV5000","-",'Banco de Dados'!G287,"/","FLASH100","-",'Banco de Dados'!H287)</f>
        <v>PS388-/PSV5000-/FLASH100-</v>
      </c>
    </row>
    <row r="288" spans="1:5" x14ac:dyDescent="0.25">
      <c r="A288" s="1" t="s">
        <v>879</v>
      </c>
      <c r="B288" s="1">
        <f>'Banco de Dados'!J288</f>
        <v>0</v>
      </c>
      <c r="C288" s="1">
        <f>'Banco de Dados'!D288</f>
        <v>0</v>
      </c>
      <c r="D288" s="1">
        <f>'Banco de Dados'!L288</f>
        <v>0</v>
      </c>
      <c r="E288" s="59" t="str">
        <f>_xlfn.CONCAT("PS388","-",'Banco de Dados'!F288,"/","PSV5000","-",'Banco de Dados'!G288,"/","FLASH100","-",'Banco de Dados'!H288)</f>
        <v>PS388-/PSV5000-/FLASH100-</v>
      </c>
    </row>
    <row r="289" spans="1:5" x14ac:dyDescent="0.25">
      <c r="A289" s="1" t="s">
        <v>879</v>
      </c>
      <c r="B289" s="1">
        <f>'Banco de Dados'!J289</f>
        <v>0</v>
      </c>
      <c r="C289" s="1">
        <f>'Banco de Dados'!D289</f>
        <v>0</v>
      </c>
      <c r="D289" s="1">
        <f>'Banco de Dados'!L289</f>
        <v>0</v>
      </c>
      <c r="E289" s="59" t="str">
        <f>_xlfn.CONCAT("PS388","-",'Banco de Dados'!F289,"/","PSV5000","-",'Banco de Dados'!G289,"/","FLASH100","-",'Banco de Dados'!H289)</f>
        <v>PS388-/PSV5000-/FLASH100-</v>
      </c>
    </row>
    <row r="290" spans="1:5" x14ac:dyDescent="0.25">
      <c r="A290" s="1" t="s">
        <v>879</v>
      </c>
      <c r="B290" s="1">
        <f>'Banco de Dados'!J290</f>
        <v>0</v>
      </c>
      <c r="C290" s="1">
        <f>'Banco de Dados'!D290</f>
        <v>0</v>
      </c>
      <c r="D290" s="1">
        <f>'Banco de Dados'!L290</f>
        <v>0</v>
      </c>
      <c r="E290" s="59" t="str">
        <f>_xlfn.CONCAT("PS388","-",'Banco de Dados'!F290,"/","PSV5000","-",'Banco de Dados'!G290,"/","FLASH100","-",'Banco de Dados'!H290)</f>
        <v>PS388-/PSV5000-/FLASH100-</v>
      </c>
    </row>
    <row r="291" spans="1:5" x14ac:dyDescent="0.25">
      <c r="A291" s="1" t="s">
        <v>879</v>
      </c>
      <c r="B291" s="1">
        <f>'Banco de Dados'!J291</f>
        <v>0</v>
      </c>
      <c r="C291" s="1">
        <f>'Banco de Dados'!D291</f>
        <v>0</v>
      </c>
      <c r="D291" s="1">
        <f>'Banco de Dados'!L291</f>
        <v>0</v>
      </c>
      <c r="E291" s="59" t="str">
        <f>_xlfn.CONCAT("PS388","-",'Banco de Dados'!F291,"/","PSV5000","-",'Banco de Dados'!G291,"/","FLASH100","-",'Banco de Dados'!H291)</f>
        <v>PS388-/PSV5000-/FLASH100-</v>
      </c>
    </row>
    <row r="292" spans="1:5" x14ac:dyDescent="0.25">
      <c r="A292" s="1" t="s">
        <v>879</v>
      </c>
      <c r="B292" s="1">
        <f>'Banco de Dados'!J292</f>
        <v>0</v>
      </c>
      <c r="C292" s="1">
        <f>'Banco de Dados'!D292</f>
        <v>0</v>
      </c>
      <c r="D292" s="1">
        <f>'Banco de Dados'!L292</f>
        <v>0</v>
      </c>
      <c r="E292" s="59" t="str">
        <f>_xlfn.CONCAT("PS388","-",'Banco de Dados'!F292,"/","PSV5000","-",'Banco de Dados'!G292,"/","FLASH100","-",'Banco de Dados'!H292)</f>
        <v>PS388-/PSV5000-/FLASH100-</v>
      </c>
    </row>
    <row r="293" spans="1:5" x14ac:dyDescent="0.25">
      <c r="A293" s="1" t="s">
        <v>879</v>
      </c>
      <c r="B293" s="1">
        <f>'Banco de Dados'!J293</f>
        <v>0</v>
      </c>
      <c r="C293" s="1">
        <f>'Banco de Dados'!D293</f>
        <v>0</v>
      </c>
      <c r="D293" s="1">
        <f>'Banco de Dados'!L293</f>
        <v>0</v>
      </c>
      <c r="E293" s="59" t="str">
        <f>_xlfn.CONCAT("PS388","-",'Banco de Dados'!F293,"/","PSV5000","-",'Banco de Dados'!G293,"/","FLASH100","-",'Banco de Dados'!H293)</f>
        <v>PS388-/PSV5000-/FLASH100-</v>
      </c>
    </row>
    <row r="294" spans="1:5" x14ac:dyDescent="0.25">
      <c r="A294" s="1" t="s">
        <v>879</v>
      </c>
      <c r="B294" s="1">
        <f>'Banco de Dados'!J294</f>
        <v>0</v>
      </c>
      <c r="C294" s="1">
        <f>'Banco de Dados'!D294</f>
        <v>0</v>
      </c>
      <c r="D294" s="1">
        <f>'Banco de Dados'!L294</f>
        <v>0</v>
      </c>
      <c r="E294" s="59" t="str">
        <f>_xlfn.CONCAT("PS388","-",'Banco de Dados'!F294,"/","PSV5000","-",'Banco de Dados'!G294,"/","FLASH100","-",'Banco de Dados'!H294)</f>
        <v>PS388-/PSV5000-/FLASH100-</v>
      </c>
    </row>
    <row r="295" spans="1:5" x14ac:dyDescent="0.25">
      <c r="A295" s="1" t="s">
        <v>879</v>
      </c>
      <c r="B295" s="1">
        <f>'Banco de Dados'!J295</f>
        <v>0</v>
      </c>
      <c r="C295" s="1">
        <f>'Banco de Dados'!D295</f>
        <v>0</v>
      </c>
      <c r="D295" s="1">
        <f>'Banco de Dados'!L295</f>
        <v>0</v>
      </c>
      <c r="E295" s="59" t="str">
        <f>_xlfn.CONCAT("PS388","-",'Banco de Dados'!F295,"/","PSV5000","-",'Banco de Dados'!G295,"/","FLASH100","-",'Banco de Dados'!H295)</f>
        <v>PS388-/PSV5000-/FLASH100-</v>
      </c>
    </row>
    <row r="296" spans="1:5" x14ac:dyDescent="0.25">
      <c r="A296" s="1" t="s">
        <v>879</v>
      </c>
      <c r="B296" s="1">
        <f>'Banco de Dados'!J296</f>
        <v>0</v>
      </c>
      <c r="C296" s="1">
        <f>'Banco de Dados'!D296</f>
        <v>0</v>
      </c>
      <c r="D296" s="1">
        <f>'Banco de Dados'!L296</f>
        <v>0</v>
      </c>
      <c r="E296" s="59" t="str">
        <f>_xlfn.CONCAT("PS388","-",'Banco de Dados'!F296,"/","PSV5000","-",'Banco de Dados'!G296,"/","FLASH100","-",'Banco de Dados'!H296)</f>
        <v>PS388-/PSV5000-/FLASH100-</v>
      </c>
    </row>
    <row r="297" spans="1:5" x14ac:dyDescent="0.25">
      <c r="A297" s="1" t="s">
        <v>879</v>
      </c>
      <c r="B297" s="1">
        <f>'Banco de Dados'!J297</f>
        <v>0</v>
      </c>
      <c r="C297" s="1">
        <f>'Banco de Dados'!D297</f>
        <v>0</v>
      </c>
      <c r="D297" s="1">
        <f>'Banco de Dados'!L297</f>
        <v>0</v>
      </c>
      <c r="E297" s="59" t="str">
        <f>_xlfn.CONCAT("PS388","-",'Banco de Dados'!F297,"/","PSV5000","-",'Banco de Dados'!G297,"/","FLASH100","-",'Banco de Dados'!H297)</f>
        <v>PS388-/PSV5000-/FLASH100-</v>
      </c>
    </row>
    <row r="298" spans="1:5" x14ac:dyDescent="0.25">
      <c r="A298" s="1" t="s">
        <v>879</v>
      </c>
      <c r="B298" s="1">
        <f>'Banco de Dados'!J298</f>
        <v>0</v>
      </c>
      <c r="C298" s="1">
        <f>'Banco de Dados'!D298</f>
        <v>0</v>
      </c>
      <c r="D298" s="1">
        <f>'Banco de Dados'!L298</f>
        <v>0</v>
      </c>
      <c r="E298" s="59" t="str">
        <f>_xlfn.CONCAT("PS388","-",'Banco de Dados'!F298,"/","PSV5000","-",'Banco de Dados'!G298,"/","FLASH100","-",'Banco de Dados'!H298)</f>
        <v>PS388-/PSV5000-/FLASH100-</v>
      </c>
    </row>
    <row r="299" spans="1:5" x14ac:dyDescent="0.25">
      <c r="A299" s="1" t="s">
        <v>879</v>
      </c>
      <c r="B299" s="1">
        <f>'Banco de Dados'!J299</f>
        <v>0</v>
      </c>
      <c r="C299" s="1">
        <f>'Banco de Dados'!D299</f>
        <v>0</v>
      </c>
      <c r="D299" s="1">
        <f>'Banco de Dados'!L299</f>
        <v>0</v>
      </c>
      <c r="E299" s="59" t="str">
        <f>_xlfn.CONCAT("PS388","-",'Banco de Dados'!F299,"/","PSV5000","-",'Banco de Dados'!G299,"/","FLASH100","-",'Banco de Dados'!H299)</f>
        <v>PS388-/PSV5000-/FLASH100-</v>
      </c>
    </row>
    <row r="300" spans="1:5" x14ac:dyDescent="0.25">
      <c r="A300" s="1" t="s">
        <v>879</v>
      </c>
      <c r="B300" s="1">
        <f>'Banco de Dados'!J300</f>
        <v>0</v>
      </c>
      <c r="C300" s="1">
        <f>'Banco de Dados'!D300</f>
        <v>0</v>
      </c>
      <c r="D300" s="1">
        <f>'Banco de Dados'!L300</f>
        <v>0</v>
      </c>
      <c r="E300" s="59" t="str">
        <f>_xlfn.CONCAT("PS388","-",'Banco de Dados'!F300,"/","PSV5000","-",'Banco de Dados'!G300,"/","FLASH100","-",'Banco de Dados'!H300)</f>
        <v>PS388-/PSV5000-/FLASH100-</v>
      </c>
    </row>
    <row r="301" spans="1:5" x14ac:dyDescent="0.25">
      <c r="A301" s="1" t="s">
        <v>879</v>
      </c>
      <c r="B301" s="1">
        <f>'Banco de Dados'!J301</f>
        <v>0</v>
      </c>
      <c r="C301" s="1">
        <f>'Banco de Dados'!D301</f>
        <v>0</v>
      </c>
      <c r="D301" s="1">
        <f>'Banco de Dados'!L301</f>
        <v>0</v>
      </c>
      <c r="E301" s="59" t="str">
        <f>_xlfn.CONCAT("PS388","-",'Banco de Dados'!F301,"/","PSV5000","-",'Banco de Dados'!G301,"/","FLASH100","-",'Banco de Dados'!H301)</f>
        <v>PS388-/PSV5000-/FLASH100-</v>
      </c>
    </row>
    <row r="302" spans="1:5" x14ac:dyDescent="0.25">
      <c r="A302" s="1" t="s">
        <v>879</v>
      </c>
      <c r="B302" s="1">
        <f>'Banco de Dados'!J302</f>
        <v>0</v>
      </c>
      <c r="C302" s="1">
        <f>'Banco de Dados'!D302</f>
        <v>0</v>
      </c>
      <c r="D302" s="1">
        <f>'Banco de Dados'!L302</f>
        <v>0</v>
      </c>
      <c r="E302" s="59" t="str">
        <f>_xlfn.CONCAT("PS388","-",'Banco de Dados'!F302,"/","PSV5000","-",'Banco de Dados'!G302,"/","FLASH100","-",'Banco de Dados'!H302)</f>
        <v>PS388-/PSV5000-/FLASH100-</v>
      </c>
    </row>
    <row r="303" spans="1:5" x14ac:dyDescent="0.25">
      <c r="A303" s="1" t="s">
        <v>879</v>
      </c>
      <c r="B303" s="1">
        <f>'Banco de Dados'!J303</f>
        <v>0</v>
      </c>
      <c r="C303" s="1">
        <f>'Banco de Dados'!D303</f>
        <v>0</v>
      </c>
      <c r="D303" s="1">
        <f>'Banco de Dados'!L303</f>
        <v>0</v>
      </c>
      <c r="E303" s="59" t="str">
        <f>_xlfn.CONCAT("PS388","-",'Banco de Dados'!F303,"/","PSV5000","-",'Banco de Dados'!G303,"/","FLASH100","-",'Banco de Dados'!H303)</f>
        <v>PS388-/PSV5000-/FLASH100-</v>
      </c>
    </row>
    <row r="304" spans="1:5" x14ac:dyDescent="0.25">
      <c r="A304" s="1" t="s">
        <v>879</v>
      </c>
      <c r="B304" s="1">
        <f>'Banco de Dados'!J304</f>
        <v>0</v>
      </c>
      <c r="C304" s="1">
        <f>'Banco de Dados'!D304</f>
        <v>0</v>
      </c>
      <c r="D304" s="1">
        <f>'Banco de Dados'!L304</f>
        <v>0</v>
      </c>
      <c r="E304" s="59" t="str">
        <f>_xlfn.CONCAT("PS388","-",'Banco de Dados'!F304,"/","PSV5000","-",'Banco de Dados'!G304,"/","FLASH100","-",'Banco de Dados'!H304)</f>
        <v>PS388-/PSV5000-/FLASH100-</v>
      </c>
    </row>
    <row r="305" spans="1:5" x14ac:dyDescent="0.25">
      <c r="A305" s="1" t="s">
        <v>879</v>
      </c>
      <c r="B305" s="1">
        <f>'Banco de Dados'!J305</f>
        <v>0</v>
      </c>
      <c r="C305" s="1">
        <f>'Banco de Dados'!D305</f>
        <v>0</v>
      </c>
      <c r="D305" s="1">
        <f>'Banco de Dados'!L305</f>
        <v>0</v>
      </c>
      <c r="E305" s="59" t="str">
        <f>_xlfn.CONCAT("PS388","-",'Banco de Dados'!F305,"/","PSV5000","-",'Banco de Dados'!G305,"/","FLASH100","-",'Banco de Dados'!H305)</f>
        <v>PS388-/PSV5000-/FLASH100-</v>
      </c>
    </row>
    <row r="306" spans="1:5" x14ac:dyDescent="0.25">
      <c r="A306" s="1" t="s">
        <v>879</v>
      </c>
      <c r="B306" s="1">
        <f>'Banco de Dados'!J306</f>
        <v>0</v>
      </c>
      <c r="C306" s="1">
        <f>'Banco de Dados'!D306</f>
        <v>0</v>
      </c>
      <c r="D306" s="1">
        <f>'Banco de Dados'!L306</f>
        <v>0</v>
      </c>
      <c r="E306" s="59" t="str">
        <f>_xlfn.CONCAT("PS388","-",'Banco de Dados'!F306,"/","PSV5000","-",'Banco de Dados'!G306,"/","FLASH100","-",'Banco de Dados'!H306)</f>
        <v>PS388-/PSV5000-/FLASH100-</v>
      </c>
    </row>
    <row r="307" spans="1:5" x14ac:dyDescent="0.25">
      <c r="A307" s="1" t="s">
        <v>879</v>
      </c>
      <c r="B307" s="1">
        <f>'Banco de Dados'!J307</f>
        <v>0</v>
      </c>
      <c r="C307" s="1">
        <f>'Banco de Dados'!D307</f>
        <v>0</v>
      </c>
      <c r="D307" s="1">
        <f>'Banco de Dados'!L307</f>
        <v>0</v>
      </c>
      <c r="E307" s="59" t="str">
        <f>_xlfn.CONCAT("PS388","-",'Banco de Dados'!F307,"/","PSV5000","-",'Banco de Dados'!G307,"/","FLASH100","-",'Banco de Dados'!H307)</f>
        <v>PS388-/PSV5000-/FLASH100-</v>
      </c>
    </row>
    <row r="308" spans="1:5" x14ac:dyDescent="0.25">
      <c r="A308" s="1" t="s">
        <v>879</v>
      </c>
      <c r="B308" s="1">
        <f>'Banco de Dados'!J308</f>
        <v>0</v>
      </c>
      <c r="C308" s="1">
        <f>'Banco de Dados'!D308</f>
        <v>0</v>
      </c>
      <c r="D308" s="1">
        <f>'Banco de Dados'!L308</f>
        <v>0</v>
      </c>
      <c r="E308" s="59" t="str">
        <f>_xlfn.CONCAT("PS388","-",'Banco de Dados'!F308,"/","PSV5000","-",'Banco de Dados'!G308,"/","FLASH100","-",'Banco de Dados'!H308)</f>
        <v>PS388-/PSV5000-/FLASH100-</v>
      </c>
    </row>
    <row r="309" spans="1:5" x14ac:dyDescent="0.25">
      <c r="A309" s="1" t="s">
        <v>879</v>
      </c>
      <c r="B309" s="1">
        <f>'Banco de Dados'!J309</f>
        <v>0</v>
      </c>
      <c r="C309" s="1">
        <f>'Banco de Dados'!D309</f>
        <v>0</v>
      </c>
      <c r="D309" s="1">
        <f>'Banco de Dados'!L309</f>
        <v>0</v>
      </c>
      <c r="E309" s="59" t="str">
        <f>_xlfn.CONCAT("PS388","-",'Banco de Dados'!F309,"/","PSV5000","-",'Banco de Dados'!G309,"/","FLASH100","-",'Banco de Dados'!H309)</f>
        <v>PS388-/PSV5000-/FLASH100-</v>
      </c>
    </row>
    <row r="310" spans="1:5" x14ac:dyDescent="0.25">
      <c r="A310" s="1" t="s">
        <v>879</v>
      </c>
      <c r="B310" s="1">
        <f>'Banco de Dados'!J310</f>
        <v>0</v>
      </c>
      <c r="C310" s="1">
        <f>'Banco de Dados'!D310</f>
        <v>0</v>
      </c>
      <c r="D310" s="1">
        <f>'Banco de Dados'!L310</f>
        <v>0</v>
      </c>
      <c r="E310" s="59" t="str">
        <f>_xlfn.CONCAT("PS388","-",'Banco de Dados'!F310,"/","PSV5000","-",'Banco de Dados'!G310,"/","FLASH100","-",'Banco de Dados'!H310)</f>
        <v>PS388-/PSV5000-/FLASH100-</v>
      </c>
    </row>
    <row r="311" spans="1:5" x14ac:dyDescent="0.25">
      <c r="A311" s="1" t="s">
        <v>879</v>
      </c>
      <c r="B311" s="1">
        <f>'Banco de Dados'!J311</f>
        <v>0</v>
      </c>
      <c r="C311" s="1">
        <f>'Banco de Dados'!D311</f>
        <v>0</v>
      </c>
      <c r="D311" s="1">
        <f>'Banco de Dados'!L311</f>
        <v>0</v>
      </c>
      <c r="E311" s="59" t="str">
        <f>_xlfn.CONCAT("PS388","-",'Banco de Dados'!F311,"/","PSV5000","-",'Banco de Dados'!G311,"/","FLASH100","-",'Banco de Dados'!H311)</f>
        <v>PS388-/PSV5000-/FLASH100-</v>
      </c>
    </row>
    <row r="312" spans="1:5" x14ac:dyDescent="0.25">
      <c r="A312" s="1" t="s">
        <v>879</v>
      </c>
      <c r="B312" s="1">
        <f>'Banco de Dados'!J312</f>
        <v>0</v>
      </c>
      <c r="C312" s="1">
        <f>'Banco de Dados'!D312</f>
        <v>0</v>
      </c>
      <c r="D312" s="1">
        <f>'Banco de Dados'!L312</f>
        <v>0</v>
      </c>
      <c r="E312" s="59" t="str">
        <f>_xlfn.CONCAT("PS388","-",'Banco de Dados'!F312,"/","PSV5000","-",'Banco de Dados'!G312,"/","FLASH100","-",'Banco de Dados'!H312)</f>
        <v>PS388-/PSV5000-/FLASH100-</v>
      </c>
    </row>
    <row r="313" spans="1:5" x14ac:dyDescent="0.25">
      <c r="A313" s="1" t="s">
        <v>879</v>
      </c>
      <c r="B313" s="1">
        <f>'Banco de Dados'!J313</f>
        <v>0</v>
      </c>
      <c r="C313" s="1">
        <f>'Banco de Dados'!D313</f>
        <v>0</v>
      </c>
      <c r="D313" s="1">
        <f>'Banco de Dados'!L313</f>
        <v>0</v>
      </c>
      <c r="E313" s="59" t="str">
        <f>_xlfn.CONCAT("PS388","-",'Banco de Dados'!F313,"/","PSV5000","-",'Banco de Dados'!G313,"/","FLASH100","-",'Banco de Dados'!H313)</f>
        <v>PS388-/PSV5000-/FLASH100-</v>
      </c>
    </row>
    <row r="314" spans="1:5" x14ac:dyDescent="0.25">
      <c r="A314" s="1" t="s">
        <v>879</v>
      </c>
      <c r="B314" s="1">
        <f>'Banco de Dados'!J314</f>
        <v>0</v>
      </c>
      <c r="C314" s="1">
        <f>'Banco de Dados'!D314</f>
        <v>0</v>
      </c>
      <c r="D314" s="1">
        <f>'Banco de Dados'!L314</f>
        <v>0</v>
      </c>
      <c r="E314" s="59" t="str">
        <f>_xlfn.CONCAT("PS388","-",'Banco de Dados'!F314,"/","PSV5000","-",'Banco de Dados'!G314,"/","FLASH100","-",'Banco de Dados'!H314)</f>
        <v>PS388-/PSV5000-/FLASH100-</v>
      </c>
    </row>
    <row r="315" spans="1:5" x14ac:dyDescent="0.25">
      <c r="A315" s="1" t="s">
        <v>879</v>
      </c>
      <c r="B315" s="1">
        <f>'Banco de Dados'!J315</f>
        <v>0</v>
      </c>
      <c r="C315" s="1">
        <f>'Banco de Dados'!D315</f>
        <v>0</v>
      </c>
      <c r="D315" s="1">
        <f>'Banco de Dados'!L315</f>
        <v>0</v>
      </c>
      <c r="E315" s="59" t="str">
        <f>_xlfn.CONCAT("PS388","-",'Banco de Dados'!F315,"/","PSV5000","-",'Banco de Dados'!G315,"/","FLASH100","-",'Banco de Dados'!H315)</f>
        <v>PS388-/PSV5000-/FLASH100-</v>
      </c>
    </row>
    <row r="316" spans="1:5" x14ac:dyDescent="0.25">
      <c r="A316" s="1" t="s">
        <v>879</v>
      </c>
      <c r="B316" s="1">
        <f>'Banco de Dados'!J316</f>
        <v>0</v>
      </c>
      <c r="C316" s="1">
        <f>'Banco de Dados'!D316</f>
        <v>0</v>
      </c>
      <c r="D316" s="1">
        <f>'Banco de Dados'!L316</f>
        <v>0</v>
      </c>
      <c r="E316" s="59" t="str">
        <f>_xlfn.CONCAT("PS388","-",'Banco de Dados'!F316,"/","PSV5000","-",'Banco de Dados'!G316,"/","FLASH100","-",'Banco de Dados'!H316)</f>
        <v>PS388-/PSV5000-/FLASH100-</v>
      </c>
    </row>
    <row r="317" spans="1:5" x14ac:dyDescent="0.25">
      <c r="A317" s="1" t="s">
        <v>879</v>
      </c>
      <c r="B317" s="1">
        <f>'Banco de Dados'!J317</f>
        <v>0</v>
      </c>
      <c r="C317" s="1">
        <f>'Banco de Dados'!D317</f>
        <v>0</v>
      </c>
      <c r="D317" s="1">
        <f>'Banco de Dados'!L317</f>
        <v>0</v>
      </c>
      <c r="E317" s="59" t="str">
        <f>_xlfn.CONCAT("PS388","-",'Banco de Dados'!F317,"/","PSV5000","-",'Banco de Dados'!G317,"/","FLASH100","-",'Banco de Dados'!H317)</f>
        <v>PS388-/PSV5000-/FLASH100-</v>
      </c>
    </row>
    <row r="318" spans="1:5" x14ac:dyDescent="0.25">
      <c r="A318" s="1" t="s">
        <v>879</v>
      </c>
      <c r="B318" s="1">
        <f>'Banco de Dados'!J318</f>
        <v>0</v>
      </c>
      <c r="C318" s="1">
        <f>'Banco de Dados'!D318</f>
        <v>0</v>
      </c>
      <c r="D318" s="1">
        <f>'Banco de Dados'!L318</f>
        <v>0</v>
      </c>
      <c r="E318" s="59" t="str">
        <f>_xlfn.CONCAT("PS388","-",'Banco de Dados'!F318,"/","PSV5000","-",'Banco de Dados'!G318,"/","FLASH100","-",'Banco de Dados'!H318)</f>
        <v>PS388-/PSV5000-/FLASH100-</v>
      </c>
    </row>
    <row r="319" spans="1:5" x14ac:dyDescent="0.25">
      <c r="A319" s="1" t="s">
        <v>879</v>
      </c>
      <c r="B319" s="1">
        <f>'Banco de Dados'!J319</f>
        <v>0</v>
      </c>
      <c r="C319" s="1">
        <f>'Banco de Dados'!D319</f>
        <v>0</v>
      </c>
      <c r="D319" s="1">
        <f>'Banco de Dados'!L319</f>
        <v>0</v>
      </c>
      <c r="E319" s="59" t="str">
        <f>_xlfn.CONCAT("PS388","-",'Banco de Dados'!F319,"/","PSV5000","-",'Banco de Dados'!G319,"/","FLASH100","-",'Banco de Dados'!H319)</f>
        <v>PS388-/PSV5000-/FLASH100-</v>
      </c>
    </row>
    <row r="320" spans="1:5" x14ac:dyDescent="0.25">
      <c r="A320" s="1" t="s">
        <v>879</v>
      </c>
      <c r="B320" s="1">
        <f>'Banco de Dados'!J320</f>
        <v>0</v>
      </c>
      <c r="C320" s="1">
        <f>'Banco de Dados'!D320</f>
        <v>0</v>
      </c>
      <c r="D320" s="1">
        <f>'Banco de Dados'!L320</f>
        <v>0</v>
      </c>
      <c r="E320" s="59" t="str">
        <f>_xlfn.CONCAT("PS388","-",'Banco de Dados'!F320,"/","PSV5000","-",'Banco de Dados'!G320,"/","FLASH100","-",'Banco de Dados'!H320)</f>
        <v>PS388-/PSV5000-/FLASH100-</v>
      </c>
    </row>
    <row r="321" spans="1:5" x14ac:dyDescent="0.25">
      <c r="A321" s="1" t="s">
        <v>879</v>
      </c>
      <c r="B321" s="1">
        <f>'Banco de Dados'!J321</f>
        <v>0</v>
      </c>
      <c r="C321" s="1">
        <f>'Banco de Dados'!D321</f>
        <v>0</v>
      </c>
      <c r="D321" s="1">
        <f>'Banco de Dados'!L321</f>
        <v>0</v>
      </c>
      <c r="E321" s="59" t="str">
        <f>_xlfn.CONCAT("PS388","-",'Banco de Dados'!F321,"/","PSV5000","-",'Banco de Dados'!G321,"/","FLASH100","-",'Banco de Dados'!H321)</f>
        <v>PS388-/PSV5000-/FLASH100-</v>
      </c>
    </row>
    <row r="322" spans="1:5" x14ac:dyDescent="0.25">
      <c r="A322" s="1" t="s">
        <v>879</v>
      </c>
      <c r="B322" s="1">
        <f>'Banco de Dados'!J322</f>
        <v>0</v>
      </c>
      <c r="C322" s="1">
        <f>'Banco de Dados'!D322</f>
        <v>0</v>
      </c>
      <c r="D322" s="1">
        <f>'Banco de Dados'!L322</f>
        <v>0</v>
      </c>
      <c r="E322" s="59" t="str">
        <f>_xlfn.CONCAT("PS388","-",'Banco de Dados'!F322,"/","PSV5000","-",'Banco de Dados'!G322,"/","FLASH100","-",'Banco de Dados'!H322)</f>
        <v>PS388-/PSV5000-/FLASH100-</v>
      </c>
    </row>
    <row r="323" spans="1:5" x14ac:dyDescent="0.25">
      <c r="A323" s="1" t="s">
        <v>879</v>
      </c>
      <c r="B323" s="1">
        <f>'Banco de Dados'!J323</f>
        <v>0</v>
      </c>
      <c r="C323" s="1">
        <f>'Banco de Dados'!D323</f>
        <v>0</v>
      </c>
      <c r="D323" s="1">
        <f>'Banco de Dados'!L323</f>
        <v>0</v>
      </c>
      <c r="E323" s="59" t="str">
        <f>_xlfn.CONCAT("PS388","-",'Banco de Dados'!F323,"/","PSV5000","-",'Banco de Dados'!G323,"/","FLASH100","-",'Banco de Dados'!H323)</f>
        <v>PS388-/PSV5000-/FLASH100-</v>
      </c>
    </row>
    <row r="324" spans="1:5" x14ac:dyDescent="0.25">
      <c r="A324" s="1" t="s">
        <v>879</v>
      </c>
      <c r="B324" s="1">
        <f>'Banco de Dados'!J324</f>
        <v>0</v>
      </c>
      <c r="C324" s="1">
        <f>'Banco de Dados'!D324</f>
        <v>0</v>
      </c>
      <c r="D324" s="1">
        <f>'Banco de Dados'!L324</f>
        <v>0</v>
      </c>
      <c r="E324" s="59" t="str">
        <f>_xlfn.CONCAT("PS388","-",'Banco de Dados'!F324,"/","PSV5000","-",'Banco de Dados'!G324,"/","FLASH100","-",'Banco de Dados'!H324)</f>
        <v>PS388-/PSV5000-/FLASH100-</v>
      </c>
    </row>
    <row r="325" spans="1:5" x14ac:dyDescent="0.25">
      <c r="A325" s="1" t="s">
        <v>879</v>
      </c>
      <c r="B325" s="1">
        <f>'Banco de Dados'!J325</f>
        <v>0</v>
      </c>
      <c r="C325" s="1">
        <f>'Banco de Dados'!D325</f>
        <v>0</v>
      </c>
      <c r="D325" s="1">
        <f>'Banco de Dados'!L325</f>
        <v>0</v>
      </c>
      <c r="E325" s="59" t="str">
        <f>_xlfn.CONCAT("PS388","-",'Banco de Dados'!F325,"/","PSV5000","-",'Banco de Dados'!G325,"/","FLASH100","-",'Banco de Dados'!H325)</f>
        <v>PS388-/PSV5000-/FLASH100-</v>
      </c>
    </row>
    <row r="326" spans="1:5" x14ac:dyDescent="0.25">
      <c r="A326" s="1" t="s">
        <v>879</v>
      </c>
      <c r="B326" s="1">
        <f>'Banco de Dados'!J326</f>
        <v>0</v>
      </c>
      <c r="C326" s="1">
        <f>'Banco de Dados'!D326</f>
        <v>0</v>
      </c>
      <c r="D326" s="1">
        <f>'Banco de Dados'!L326</f>
        <v>0</v>
      </c>
      <c r="E326" s="59" t="str">
        <f>_xlfn.CONCAT("PS388","-",'Banco de Dados'!F326,"/","PSV5000","-",'Banco de Dados'!G326,"/","FLASH100","-",'Banco de Dados'!H326)</f>
        <v>PS388-/PSV5000-/FLASH100-</v>
      </c>
    </row>
    <row r="327" spans="1:5" x14ac:dyDescent="0.25">
      <c r="A327" s="1" t="s">
        <v>879</v>
      </c>
      <c r="B327" s="1">
        <f>'Banco de Dados'!J327</f>
        <v>0</v>
      </c>
      <c r="C327" s="1">
        <f>'Banco de Dados'!D327</f>
        <v>0</v>
      </c>
      <c r="D327" s="1">
        <f>'Banco de Dados'!L327</f>
        <v>0</v>
      </c>
      <c r="E327" s="59" t="str">
        <f>_xlfn.CONCAT("PS388","-",'Banco de Dados'!F327,"/","PSV5000","-",'Banco de Dados'!G327,"/","FLASH100","-",'Banco de Dados'!H327)</f>
        <v>PS388-/PSV5000-/FLASH100-</v>
      </c>
    </row>
    <row r="328" spans="1:5" x14ac:dyDescent="0.25">
      <c r="A328" s="1" t="s">
        <v>879</v>
      </c>
      <c r="B328" s="1">
        <f>'Banco de Dados'!J328</f>
        <v>0</v>
      </c>
      <c r="C328" s="1">
        <f>'Banco de Dados'!D328</f>
        <v>0</v>
      </c>
      <c r="D328" s="1">
        <f>'Banco de Dados'!L328</f>
        <v>0</v>
      </c>
      <c r="E328" s="59" t="str">
        <f>_xlfn.CONCAT("PS388","-",'Banco de Dados'!F328,"/","PSV5000","-",'Banco de Dados'!G328,"/","FLASH100","-",'Banco de Dados'!H328)</f>
        <v>PS388-/PSV5000-/FLASH100-</v>
      </c>
    </row>
    <row r="329" spans="1:5" x14ac:dyDescent="0.25">
      <c r="A329" s="1" t="s">
        <v>879</v>
      </c>
      <c r="B329" s="1">
        <f>'Banco de Dados'!J329</f>
        <v>0</v>
      </c>
      <c r="C329" s="1">
        <f>'Banco de Dados'!D329</f>
        <v>0</v>
      </c>
      <c r="D329" s="1">
        <f>'Banco de Dados'!L329</f>
        <v>0</v>
      </c>
      <c r="E329" s="59" t="str">
        <f>_xlfn.CONCAT("PS388","-",'Banco de Dados'!F329,"/","PSV5000","-",'Banco de Dados'!G329,"/","FLASH100","-",'Banco de Dados'!H329)</f>
        <v>PS388-/PSV5000-/FLASH100-</v>
      </c>
    </row>
    <row r="330" spans="1:5" x14ac:dyDescent="0.25">
      <c r="A330" s="1" t="s">
        <v>879</v>
      </c>
      <c r="B330" s="1">
        <f>'Banco de Dados'!J330</f>
        <v>0</v>
      </c>
      <c r="C330" s="1">
        <f>'Banco de Dados'!D330</f>
        <v>0</v>
      </c>
      <c r="D330" s="1">
        <f>'Banco de Dados'!L330</f>
        <v>0</v>
      </c>
      <c r="E330" s="59" t="str">
        <f>_xlfn.CONCAT("PS388","-",'Banco de Dados'!F330,"/","PSV5000","-",'Banco de Dados'!G330,"/","FLASH100","-",'Banco de Dados'!H330)</f>
        <v>PS388-/PSV5000-/FLASH100-</v>
      </c>
    </row>
    <row r="331" spans="1:5" x14ac:dyDescent="0.25">
      <c r="A331" s="1" t="s">
        <v>879</v>
      </c>
      <c r="B331" s="1">
        <f>'Banco de Dados'!J331</f>
        <v>0</v>
      </c>
      <c r="C331" s="1">
        <f>'Banco de Dados'!D331</f>
        <v>0</v>
      </c>
      <c r="D331" s="1">
        <f>'Banco de Dados'!L331</f>
        <v>0</v>
      </c>
      <c r="E331" s="59" t="str">
        <f>_xlfn.CONCAT("PS388","-",'Banco de Dados'!F331,"/","PSV5000","-",'Banco de Dados'!G331,"/","FLASH100","-",'Banco de Dados'!H331)</f>
        <v>PS388-/PSV5000-/FLASH100-</v>
      </c>
    </row>
    <row r="332" spans="1:5" x14ac:dyDescent="0.25">
      <c r="A332" s="1" t="s">
        <v>879</v>
      </c>
      <c r="B332" s="1">
        <f>'Banco de Dados'!J332</f>
        <v>0</v>
      </c>
      <c r="C332" s="1">
        <f>'Banco de Dados'!D332</f>
        <v>0</v>
      </c>
      <c r="D332" s="1">
        <f>'Banco de Dados'!L332</f>
        <v>0</v>
      </c>
      <c r="E332" s="59" t="str">
        <f>_xlfn.CONCAT("PS388","-",'Banco de Dados'!F332,"/","PSV5000","-",'Banco de Dados'!G332,"/","FLASH100","-",'Banco de Dados'!H332)</f>
        <v>PS388-/PSV5000-/FLASH100-</v>
      </c>
    </row>
    <row r="333" spans="1:5" x14ac:dyDescent="0.25">
      <c r="A333" s="1" t="s">
        <v>879</v>
      </c>
      <c r="B333" s="1">
        <f>'Banco de Dados'!J333</f>
        <v>0</v>
      </c>
      <c r="C333" s="1">
        <f>'Banco de Dados'!D333</f>
        <v>0</v>
      </c>
      <c r="D333" s="1">
        <f>'Banco de Dados'!L333</f>
        <v>0</v>
      </c>
      <c r="E333" s="59" t="str">
        <f>_xlfn.CONCAT("PS388","-",'Banco de Dados'!F333,"/","PSV5000","-",'Banco de Dados'!G333,"/","FLASH100","-",'Banco de Dados'!H333)</f>
        <v>PS388-/PSV5000-/FLASH100-</v>
      </c>
    </row>
    <row r="334" spans="1:5" x14ac:dyDescent="0.25">
      <c r="A334" s="1" t="s">
        <v>879</v>
      </c>
      <c r="B334" s="1">
        <f>'Banco de Dados'!J334</f>
        <v>0</v>
      </c>
      <c r="C334" s="1">
        <f>'Banco de Dados'!D334</f>
        <v>0</v>
      </c>
      <c r="D334" s="1">
        <f>'Banco de Dados'!L334</f>
        <v>0</v>
      </c>
      <c r="E334" s="59" t="str">
        <f>_xlfn.CONCAT("PS388","-",'Banco de Dados'!F334,"/","PSV5000","-",'Banco de Dados'!G334,"/","FLASH100","-",'Banco de Dados'!H334)</f>
        <v>PS388-/PSV5000-/FLASH100-</v>
      </c>
    </row>
    <row r="335" spans="1:5" x14ac:dyDescent="0.25">
      <c r="A335" s="1" t="s">
        <v>879</v>
      </c>
      <c r="B335" s="1">
        <f>'Banco de Dados'!J335</f>
        <v>0</v>
      </c>
      <c r="C335" s="1">
        <f>'Banco de Dados'!D335</f>
        <v>0</v>
      </c>
      <c r="D335" s="1">
        <f>'Banco de Dados'!L335</f>
        <v>0</v>
      </c>
      <c r="E335" s="59" t="str">
        <f>_xlfn.CONCAT("PS388","-",'Banco de Dados'!F335,"/","PSV5000","-",'Banco de Dados'!G335,"/","FLASH100","-",'Banco de Dados'!H335)</f>
        <v>PS388-/PSV5000-/FLASH100-</v>
      </c>
    </row>
    <row r="336" spans="1:5" x14ac:dyDescent="0.25">
      <c r="A336" s="1" t="s">
        <v>879</v>
      </c>
      <c r="B336" s="1">
        <f>'Banco de Dados'!J336</f>
        <v>0</v>
      </c>
      <c r="C336" s="1">
        <f>'Banco de Dados'!D336</f>
        <v>0</v>
      </c>
      <c r="D336" s="1">
        <f>'Banco de Dados'!L336</f>
        <v>0</v>
      </c>
      <c r="E336" s="59" t="str">
        <f>_xlfn.CONCAT("PS388","-",'Banco de Dados'!F336,"/","PSV5000","-",'Banco de Dados'!G336,"/","FLASH100","-",'Banco de Dados'!H336)</f>
        <v>PS388-/PSV5000-/FLASH100-</v>
      </c>
    </row>
    <row r="337" spans="1:5" x14ac:dyDescent="0.25">
      <c r="A337" s="1" t="s">
        <v>879</v>
      </c>
      <c r="B337" s="1">
        <f>'Banco de Dados'!J337</f>
        <v>0</v>
      </c>
      <c r="C337" s="1">
        <f>'Banco de Dados'!D337</f>
        <v>0</v>
      </c>
      <c r="D337" s="1">
        <f>'Banco de Dados'!L337</f>
        <v>0</v>
      </c>
      <c r="E337" s="59" t="str">
        <f>_xlfn.CONCAT("PS388","-",'Banco de Dados'!F337,"/","PSV5000","-",'Banco de Dados'!G337,"/","FLASH100","-",'Banco de Dados'!H337)</f>
        <v>PS388-/PSV5000-/FLASH100-</v>
      </c>
    </row>
    <row r="338" spans="1:5" x14ac:dyDescent="0.25">
      <c r="A338" s="1" t="s">
        <v>879</v>
      </c>
      <c r="B338" s="1">
        <f>'Banco de Dados'!J338</f>
        <v>0</v>
      </c>
      <c r="C338" s="1">
        <f>'Banco de Dados'!D338</f>
        <v>0</v>
      </c>
      <c r="D338" s="1">
        <f>'Banco de Dados'!L338</f>
        <v>0</v>
      </c>
      <c r="E338" s="59" t="str">
        <f>_xlfn.CONCAT("PS388","-",'Banco de Dados'!F338,"/","PSV5000","-",'Banco de Dados'!G338,"/","FLASH100","-",'Banco de Dados'!H338)</f>
        <v>PS388-/PSV5000-/FLASH100-</v>
      </c>
    </row>
    <row r="339" spans="1:5" x14ac:dyDescent="0.25">
      <c r="A339" s="1" t="s">
        <v>879</v>
      </c>
      <c r="B339" s="1">
        <f>'Banco de Dados'!J339</f>
        <v>0</v>
      </c>
      <c r="C339" s="1">
        <f>'Banco de Dados'!D339</f>
        <v>0</v>
      </c>
      <c r="D339" s="1">
        <f>'Banco de Dados'!L339</f>
        <v>0</v>
      </c>
      <c r="E339" s="59" t="str">
        <f>_xlfn.CONCAT("PS388","-",'Banco de Dados'!F339,"/","PSV5000","-",'Banco de Dados'!G339,"/","FLASH100","-",'Banco de Dados'!H339)</f>
        <v>PS388-/PSV5000-/FLASH100-</v>
      </c>
    </row>
    <row r="340" spans="1:5" x14ac:dyDescent="0.25">
      <c r="A340" s="1" t="s">
        <v>879</v>
      </c>
      <c r="B340" s="1">
        <f>'Banco de Dados'!J340</f>
        <v>0</v>
      </c>
      <c r="C340" s="1">
        <f>'Banco de Dados'!D340</f>
        <v>0</v>
      </c>
      <c r="D340" s="1">
        <f>'Banco de Dados'!L340</f>
        <v>0</v>
      </c>
      <c r="E340" s="59" t="str">
        <f>_xlfn.CONCAT("PS388","-",'Banco de Dados'!F340,"/","PSV5000","-",'Banco de Dados'!G340,"/","FLASH100","-",'Banco de Dados'!H340)</f>
        <v>PS388-/PSV5000-/FLASH100-</v>
      </c>
    </row>
    <row r="341" spans="1:5" x14ac:dyDescent="0.25">
      <c r="A341" s="1" t="s">
        <v>879</v>
      </c>
      <c r="B341" s="1">
        <f>'Banco de Dados'!J341</f>
        <v>0</v>
      </c>
      <c r="C341" s="1">
        <f>'Banco de Dados'!D341</f>
        <v>0</v>
      </c>
      <c r="D341" s="1">
        <f>'Banco de Dados'!L341</f>
        <v>0</v>
      </c>
      <c r="E341" s="59" t="str">
        <f>_xlfn.CONCAT("PS388","-",'Banco de Dados'!F341,"/","PSV5000","-",'Banco de Dados'!G341,"/","FLASH100","-",'Banco de Dados'!H341)</f>
        <v>PS388-/PSV5000-/FLASH100-</v>
      </c>
    </row>
    <row r="342" spans="1:5" x14ac:dyDescent="0.25">
      <c r="A342" s="1" t="s">
        <v>879</v>
      </c>
      <c r="B342" s="1">
        <f>'Banco de Dados'!J342</f>
        <v>0</v>
      </c>
      <c r="C342" s="1">
        <f>'Banco de Dados'!D342</f>
        <v>0</v>
      </c>
      <c r="D342" s="1">
        <f>'Banco de Dados'!L342</f>
        <v>0</v>
      </c>
      <c r="E342" s="59" t="str">
        <f>_xlfn.CONCAT("PS388","-",'Banco de Dados'!F342,"/","PSV5000","-",'Banco de Dados'!G342,"/","FLASH100","-",'Banco de Dados'!H342)</f>
        <v>PS388-/PSV5000-/FLASH100-</v>
      </c>
    </row>
    <row r="343" spans="1:5" x14ac:dyDescent="0.25">
      <c r="A343" s="1" t="s">
        <v>879</v>
      </c>
      <c r="B343" s="1">
        <f>'Banco de Dados'!J343</f>
        <v>0</v>
      </c>
      <c r="C343" s="1">
        <f>'Banco de Dados'!D343</f>
        <v>0</v>
      </c>
      <c r="D343" s="1">
        <f>'Banco de Dados'!L343</f>
        <v>0</v>
      </c>
      <c r="E343" s="59" t="str">
        <f>_xlfn.CONCAT("PS388","-",'Banco de Dados'!F343,"/","PSV5000","-",'Banco de Dados'!G343,"/","FLASH100","-",'Banco de Dados'!H343)</f>
        <v>PS388-/PSV5000-/FLASH100-</v>
      </c>
    </row>
    <row r="344" spans="1:5" x14ac:dyDescent="0.25">
      <c r="A344" s="1" t="s">
        <v>879</v>
      </c>
      <c r="B344" s="1">
        <f>'Banco de Dados'!J344</f>
        <v>0</v>
      </c>
      <c r="C344" s="1">
        <f>'Banco de Dados'!D344</f>
        <v>0</v>
      </c>
      <c r="D344" s="1">
        <f>'Banco de Dados'!L344</f>
        <v>0</v>
      </c>
      <c r="E344" s="59" t="str">
        <f>_xlfn.CONCAT("PS388","-",'Banco de Dados'!F344,"/","PSV5000","-",'Banco de Dados'!G344,"/","FLASH100","-",'Banco de Dados'!H344)</f>
        <v>PS388-/PSV5000-/FLASH100-</v>
      </c>
    </row>
    <row r="345" spans="1:5" x14ac:dyDescent="0.25">
      <c r="A345" s="1" t="s">
        <v>879</v>
      </c>
      <c r="B345" s="1">
        <f>'Banco de Dados'!J345</f>
        <v>0</v>
      </c>
      <c r="C345" s="1">
        <f>'Banco de Dados'!D345</f>
        <v>0</v>
      </c>
      <c r="D345" s="1">
        <f>'Banco de Dados'!L345</f>
        <v>0</v>
      </c>
      <c r="E345" s="59" t="str">
        <f>_xlfn.CONCAT("PS388","-",'Banco de Dados'!F345,"/","PSV5000","-",'Banco de Dados'!G345,"/","FLASH100","-",'Banco de Dados'!H345)</f>
        <v>PS388-/PSV5000-/FLASH100-</v>
      </c>
    </row>
    <row r="346" spans="1:5" x14ac:dyDescent="0.25">
      <c r="A346" s="1" t="s">
        <v>879</v>
      </c>
      <c r="B346" s="1">
        <f>'Banco de Dados'!J346</f>
        <v>0</v>
      </c>
      <c r="C346" s="1">
        <f>'Banco de Dados'!D346</f>
        <v>0</v>
      </c>
      <c r="D346" s="1">
        <f>'Banco de Dados'!L346</f>
        <v>0</v>
      </c>
      <c r="E346" s="59" t="str">
        <f>_xlfn.CONCAT("PS388","-",'Banco de Dados'!F346,"/","PSV5000","-",'Banco de Dados'!G346,"/","FLASH100","-",'Banco de Dados'!H346)</f>
        <v>PS388-/PSV5000-/FLASH100-</v>
      </c>
    </row>
    <row r="347" spans="1:5" x14ac:dyDescent="0.25">
      <c r="A347" s="1" t="s">
        <v>879</v>
      </c>
      <c r="B347" s="1">
        <f>'Banco de Dados'!J347</f>
        <v>0</v>
      </c>
      <c r="C347" s="1">
        <f>'Banco de Dados'!D347</f>
        <v>0</v>
      </c>
      <c r="D347" s="1">
        <f>'Banco de Dados'!L347</f>
        <v>0</v>
      </c>
      <c r="E347" s="59" t="str">
        <f>_xlfn.CONCAT("PS388","-",'Banco de Dados'!F347,"/","PSV5000","-",'Banco de Dados'!G347,"/","FLASH100","-",'Banco de Dados'!H347)</f>
        <v>PS388-/PSV5000-/FLASH100-</v>
      </c>
    </row>
    <row r="348" spans="1:5" x14ac:dyDescent="0.25">
      <c r="A348" s="1" t="s">
        <v>879</v>
      </c>
      <c r="B348" s="1">
        <f>'Banco de Dados'!J348</f>
        <v>0</v>
      </c>
      <c r="C348" s="1">
        <f>'Banco de Dados'!D348</f>
        <v>0</v>
      </c>
      <c r="D348" s="1">
        <f>'Banco de Dados'!L348</f>
        <v>0</v>
      </c>
      <c r="E348" s="59" t="str">
        <f>_xlfn.CONCAT("PS388","-",'Banco de Dados'!F348,"/","PSV5000","-",'Banco de Dados'!G348,"/","FLASH100","-",'Banco de Dados'!H348)</f>
        <v>PS388-/PSV5000-/FLASH100-</v>
      </c>
    </row>
    <row r="349" spans="1:5" x14ac:dyDescent="0.25">
      <c r="A349" s="1" t="s">
        <v>879</v>
      </c>
      <c r="B349" s="1">
        <f>'Banco de Dados'!J349</f>
        <v>0</v>
      </c>
      <c r="C349" s="1">
        <f>'Banco de Dados'!D349</f>
        <v>0</v>
      </c>
      <c r="D349" s="1">
        <f>'Banco de Dados'!L349</f>
        <v>0</v>
      </c>
      <c r="E349" s="59" t="str">
        <f>_xlfn.CONCAT("PS388","-",'Banco de Dados'!F349,"/","PSV5000","-",'Banco de Dados'!G349,"/","FLASH100","-",'Banco de Dados'!H349)</f>
        <v>PS388-/PSV5000-/FLASH100-</v>
      </c>
    </row>
    <row r="350" spans="1:5" x14ac:dyDescent="0.25">
      <c r="A350" s="1" t="s">
        <v>879</v>
      </c>
      <c r="B350" s="1">
        <f>'Banco de Dados'!J350</f>
        <v>0</v>
      </c>
      <c r="C350" s="1">
        <f>'Banco de Dados'!D350</f>
        <v>0</v>
      </c>
      <c r="D350" s="1">
        <f>'Banco de Dados'!L350</f>
        <v>0</v>
      </c>
      <c r="E350" s="59" t="str">
        <f>_xlfn.CONCAT("PS388","-",'Banco de Dados'!F350,"/","PSV5000","-",'Banco de Dados'!G350,"/","FLASH100","-",'Banco de Dados'!H350)</f>
        <v>PS388-/PSV5000-/FLASH100-</v>
      </c>
    </row>
    <row r="351" spans="1:5" x14ac:dyDescent="0.25">
      <c r="A351" s="1" t="s">
        <v>879</v>
      </c>
      <c r="B351" s="1">
        <f>'Banco de Dados'!J351</f>
        <v>0</v>
      </c>
      <c r="C351" s="1">
        <f>'Banco de Dados'!D351</f>
        <v>0</v>
      </c>
      <c r="D351" s="1">
        <f>'Banco de Dados'!L351</f>
        <v>0</v>
      </c>
      <c r="E351" s="59" t="str">
        <f>_xlfn.CONCAT("PS388","-",'Banco de Dados'!F351,"/","PSV5000","-",'Banco de Dados'!G351,"/","FLASH100","-",'Banco de Dados'!H351)</f>
        <v>PS388-/PSV5000-/FLASH100-</v>
      </c>
    </row>
    <row r="352" spans="1:5" x14ac:dyDescent="0.25">
      <c r="A352" s="1" t="s">
        <v>879</v>
      </c>
      <c r="B352" s="1">
        <f>'Banco de Dados'!J352</f>
        <v>0</v>
      </c>
      <c r="C352" s="1">
        <f>'Banco de Dados'!D352</f>
        <v>0</v>
      </c>
      <c r="D352" s="1">
        <f>'Banco de Dados'!L352</f>
        <v>0</v>
      </c>
      <c r="E352" s="59" t="str">
        <f>_xlfn.CONCAT("PS388","-",'Banco de Dados'!F352,"/","PSV5000","-",'Banco de Dados'!G352,"/","FLASH100","-",'Banco de Dados'!H352)</f>
        <v>PS388-/PSV5000-/FLASH100-</v>
      </c>
    </row>
    <row r="353" spans="1:5" x14ac:dyDescent="0.25">
      <c r="A353" s="1" t="s">
        <v>879</v>
      </c>
      <c r="B353" s="1">
        <f>'Banco de Dados'!J353</f>
        <v>0</v>
      </c>
      <c r="C353" s="1">
        <f>'Banco de Dados'!D353</f>
        <v>0</v>
      </c>
      <c r="D353" s="1">
        <f>'Banco de Dados'!L353</f>
        <v>0</v>
      </c>
      <c r="E353" s="59" t="str">
        <f>_xlfn.CONCAT("PS388","-",'Banco de Dados'!F353,"/","PSV5000","-",'Banco de Dados'!G353,"/","FLASH100","-",'Banco de Dados'!H353)</f>
        <v>PS388-/PSV5000-/FLASH100-</v>
      </c>
    </row>
    <row r="354" spans="1:5" x14ac:dyDescent="0.25">
      <c r="A354" s="1" t="s">
        <v>879</v>
      </c>
      <c r="B354" s="1">
        <f>'Banco de Dados'!J354</f>
        <v>0</v>
      </c>
      <c r="C354" s="1">
        <f>'Banco de Dados'!D354</f>
        <v>0</v>
      </c>
      <c r="D354" s="1">
        <f>'Banco de Dados'!L354</f>
        <v>0</v>
      </c>
      <c r="E354" s="59" t="str">
        <f>_xlfn.CONCAT("PS388","-",'Banco de Dados'!F354,"/","PSV5000","-",'Banco de Dados'!G354,"/","FLASH100","-",'Banco de Dados'!H354)</f>
        <v>PS388-/PSV5000-/FLASH100-</v>
      </c>
    </row>
    <row r="355" spans="1:5" x14ac:dyDescent="0.25">
      <c r="A355" s="1" t="s">
        <v>879</v>
      </c>
      <c r="B355" s="1">
        <f>'Banco de Dados'!J355</f>
        <v>0</v>
      </c>
      <c r="C355" s="1">
        <f>'Banco de Dados'!D355</f>
        <v>0</v>
      </c>
      <c r="D355" s="1">
        <f>'Banco de Dados'!L355</f>
        <v>0</v>
      </c>
      <c r="E355" s="59" t="str">
        <f>_xlfn.CONCAT("PS388","-",'Banco de Dados'!F355,"/","PSV5000","-",'Banco de Dados'!G355,"/","FLASH100","-",'Banco de Dados'!H355)</f>
        <v>PS388-/PSV5000-/FLASH100-</v>
      </c>
    </row>
    <row r="356" spans="1:5" x14ac:dyDescent="0.25">
      <c r="A356" s="1" t="s">
        <v>879</v>
      </c>
      <c r="B356" s="1">
        <f>'Banco de Dados'!J356</f>
        <v>0</v>
      </c>
      <c r="C356" s="1">
        <f>'Banco de Dados'!D356</f>
        <v>0</v>
      </c>
      <c r="D356" s="1">
        <f>'Banco de Dados'!L356</f>
        <v>0</v>
      </c>
      <c r="E356" s="59" t="str">
        <f>_xlfn.CONCAT("PS388","-",'Banco de Dados'!F356,"/","PSV5000","-",'Banco de Dados'!G356,"/","FLASH100","-",'Banco de Dados'!H356)</f>
        <v>PS388-/PSV5000-/FLASH100-</v>
      </c>
    </row>
    <row r="357" spans="1:5" x14ac:dyDescent="0.25">
      <c r="A357" s="1" t="s">
        <v>879</v>
      </c>
      <c r="B357" s="1">
        <f>'Banco de Dados'!J357</f>
        <v>0</v>
      </c>
      <c r="C357" s="1">
        <f>'Banco de Dados'!D357</f>
        <v>0</v>
      </c>
      <c r="D357" s="1">
        <f>'Banco de Dados'!L357</f>
        <v>0</v>
      </c>
      <c r="E357" s="59" t="str">
        <f>_xlfn.CONCAT("PS388","-",'Banco de Dados'!F357,"/","PSV5000","-",'Banco de Dados'!G357,"/","FLASH100","-",'Banco de Dados'!H357)</f>
        <v>PS388-/PSV5000-/FLASH100-</v>
      </c>
    </row>
    <row r="358" spans="1:5" x14ac:dyDescent="0.25">
      <c r="A358" s="1" t="s">
        <v>879</v>
      </c>
      <c r="B358" s="1">
        <f>'Banco de Dados'!J358</f>
        <v>0</v>
      </c>
      <c r="C358" s="1">
        <f>'Banco de Dados'!D358</f>
        <v>0</v>
      </c>
      <c r="D358" s="1">
        <f>'Banco de Dados'!L358</f>
        <v>0</v>
      </c>
      <c r="E358" s="59" t="str">
        <f>_xlfn.CONCAT("PS388","-",'Banco de Dados'!F358,"/","PSV5000","-",'Banco de Dados'!G358,"/","FLASH100","-",'Banco de Dados'!H358)</f>
        <v>PS388-/PSV5000-/FLASH100-</v>
      </c>
    </row>
    <row r="359" spans="1:5" x14ac:dyDescent="0.25">
      <c r="A359" s="1" t="s">
        <v>879</v>
      </c>
      <c r="B359" s="1">
        <f>'Banco de Dados'!J359</f>
        <v>0</v>
      </c>
      <c r="C359" s="1">
        <f>'Banco de Dados'!D359</f>
        <v>0</v>
      </c>
      <c r="D359" s="1">
        <f>'Banco de Dados'!L359</f>
        <v>0</v>
      </c>
      <c r="E359" s="59" t="str">
        <f>_xlfn.CONCAT("PS388","-",'Banco de Dados'!F359,"/","PSV5000","-",'Banco de Dados'!G359,"/","FLASH100","-",'Banco de Dados'!H359)</f>
        <v>PS388-/PSV5000-/FLASH100-</v>
      </c>
    </row>
    <row r="360" spans="1:5" x14ac:dyDescent="0.25">
      <c r="A360" s="1" t="s">
        <v>879</v>
      </c>
      <c r="B360" s="1">
        <f>'Banco de Dados'!J360</f>
        <v>0</v>
      </c>
      <c r="C360" s="1">
        <f>'Banco de Dados'!D360</f>
        <v>0</v>
      </c>
      <c r="D360" s="1">
        <f>'Banco de Dados'!L360</f>
        <v>0</v>
      </c>
      <c r="E360" s="59" t="str">
        <f>_xlfn.CONCAT("PS388","-",'Banco de Dados'!F360,"/","PSV5000","-",'Banco de Dados'!G360,"/","FLASH100","-",'Banco de Dados'!H360)</f>
        <v>PS388-/PSV5000-/FLASH100-</v>
      </c>
    </row>
    <row r="361" spans="1:5" x14ac:dyDescent="0.25">
      <c r="A361" s="1" t="s">
        <v>879</v>
      </c>
      <c r="B361" s="1">
        <f>'Banco de Dados'!J361</f>
        <v>0</v>
      </c>
      <c r="C361" s="1">
        <f>'Banco de Dados'!D361</f>
        <v>0</v>
      </c>
      <c r="D361" s="1">
        <f>'Banco de Dados'!L361</f>
        <v>0</v>
      </c>
      <c r="E361" s="59" t="str">
        <f>_xlfn.CONCAT("PS388","-",'Banco de Dados'!F361,"/","PSV5000","-",'Banco de Dados'!G361,"/","FLASH100","-",'Banco de Dados'!H361)</f>
        <v>PS388-/PSV5000-/FLASH100-</v>
      </c>
    </row>
    <row r="362" spans="1:5" x14ac:dyDescent="0.25">
      <c r="A362" s="1" t="s">
        <v>879</v>
      </c>
      <c r="B362" s="1">
        <f>'Banco de Dados'!J362</f>
        <v>0</v>
      </c>
      <c r="C362" s="1">
        <f>'Banco de Dados'!D362</f>
        <v>0</v>
      </c>
      <c r="D362" s="1">
        <f>'Banco de Dados'!L362</f>
        <v>0</v>
      </c>
      <c r="E362" s="59" t="str">
        <f>_xlfn.CONCAT("PS388","-",'Banco de Dados'!F362,"/","PSV5000","-",'Banco de Dados'!G362,"/","FLASH100","-",'Banco de Dados'!H362)</f>
        <v>PS388-/PSV5000-/FLASH100-</v>
      </c>
    </row>
    <row r="363" spans="1:5" x14ac:dyDescent="0.25">
      <c r="A363" s="1" t="s">
        <v>879</v>
      </c>
      <c r="B363" s="1">
        <f>'Banco de Dados'!J363</f>
        <v>0</v>
      </c>
      <c r="C363" s="1">
        <f>'Banco de Dados'!D363</f>
        <v>0</v>
      </c>
      <c r="D363" s="1">
        <f>'Banco de Dados'!L363</f>
        <v>0</v>
      </c>
      <c r="E363" s="59" t="str">
        <f>_xlfn.CONCAT("PS388","-",'Banco de Dados'!F363,"/","PSV5000","-",'Banco de Dados'!G363,"/","FLASH100","-",'Banco de Dados'!H363)</f>
        <v>PS388-/PSV5000-/FLASH100-</v>
      </c>
    </row>
    <row r="364" spans="1:5" x14ac:dyDescent="0.25">
      <c r="A364" s="1" t="s">
        <v>879</v>
      </c>
      <c r="B364" s="1">
        <f>'Banco de Dados'!J364</f>
        <v>0</v>
      </c>
      <c r="C364" s="1">
        <f>'Banco de Dados'!D364</f>
        <v>0</v>
      </c>
      <c r="D364" s="1">
        <f>'Banco de Dados'!L364</f>
        <v>0</v>
      </c>
      <c r="E364" s="59" t="str">
        <f>_xlfn.CONCAT("PS388","-",'Banco de Dados'!F364,"/","PSV5000","-",'Banco de Dados'!G364,"/","FLASH100","-",'Banco de Dados'!H364)</f>
        <v>PS388-/PSV5000-/FLASH100-</v>
      </c>
    </row>
    <row r="365" spans="1:5" x14ac:dyDescent="0.25">
      <c r="A365" s="1" t="s">
        <v>879</v>
      </c>
      <c r="B365" s="1">
        <f>'Banco de Dados'!J365</f>
        <v>0</v>
      </c>
      <c r="C365" s="1">
        <f>'Banco de Dados'!D365</f>
        <v>0</v>
      </c>
      <c r="D365" s="1">
        <f>'Banco de Dados'!L365</f>
        <v>0</v>
      </c>
      <c r="E365" s="59" t="str">
        <f>_xlfn.CONCAT("PS388","-",'Banco de Dados'!F365,"/","PSV5000","-",'Banco de Dados'!G365,"/","FLASH100","-",'Banco de Dados'!H365)</f>
        <v>PS388-/PSV5000-/FLASH100-</v>
      </c>
    </row>
    <row r="366" spans="1:5" x14ac:dyDescent="0.25">
      <c r="A366" s="1" t="s">
        <v>879</v>
      </c>
      <c r="B366" s="1">
        <f>'Banco de Dados'!J366</f>
        <v>0</v>
      </c>
      <c r="C366" s="1">
        <f>'Banco de Dados'!D366</f>
        <v>0</v>
      </c>
      <c r="D366" s="1">
        <f>'Banco de Dados'!L366</f>
        <v>0</v>
      </c>
      <c r="E366" s="59" t="str">
        <f>_xlfn.CONCAT("PS388","-",'Banco de Dados'!F366,"/","PSV5000","-",'Banco de Dados'!G366,"/","FLASH100","-",'Banco de Dados'!H366)</f>
        <v>PS388-/PSV5000-/FLASH100-</v>
      </c>
    </row>
    <row r="367" spans="1:5" x14ac:dyDescent="0.25">
      <c r="A367" s="1" t="s">
        <v>879</v>
      </c>
      <c r="B367" s="1">
        <f>'Banco de Dados'!J367</f>
        <v>0</v>
      </c>
      <c r="C367" s="1">
        <f>'Banco de Dados'!D367</f>
        <v>0</v>
      </c>
      <c r="D367" s="1">
        <f>'Banco de Dados'!L367</f>
        <v>0</v>
      </c>
      <c r="E367" s="59" t="str">
        <f>_xlfn.CONCAT("PS388","-",'Banco de Dados'!F367,"/","PSV5000","-",'Banco de Dados'!G367,"/","FLASH100","-",'Banco de Dados'!H367)</f>
        <v>PS388-/PSV5000-/FLASH100-</v>
      </c>
    </row>
    <row r="368" spans="1:5" x14ac:dyDescent="0.25">
      <c r="A368" s="1" t="s">
        <v>879</v>
      </c>
      <c r="B368" s="1">
        <f>'Banco de Dados'!J368</f>
        <v>0</v>
      </c>
      <c r="C368" s="1">
        <f>'Banco de Dados'!D368</f>
        <v>0</v>
      </c>
      <c r="D368" s="1">
        <f>'Banco de Dados'!L368</f>
        <v>0</v>
      </c>
      <c r="E368" s="59" t="str">
        <f>_xlfn.CONCAT("PS388","-",'Banco de Dados'!F368,"/","PSV5000","-",'Banco de Dados'!G368,"/","FLASH100","-",'Banco de Dados'!H368)</f>
        <v>PS388-/PSV5000-/FLASH100-</v>
      </c>
    </row>
    <row r="369" spans="1:5" x14ac:dyDescent="0.25">
      <c r="A369" s="1" t="s">
        <v>879</v>
      </c>
      <c r="B369" s="1">
        <f>'Banco de Dados'!J369</f>
        <v>0</v>
      </c>
      <c r="C369" s="1">
        <f>'Banco de Dados'!D369</f>
        <v>0</v>
      </c>
      <c r="D369" s="1">
        <f>'Banco de Dados'!L369</f>
        <v>0</v>
      </c>
      <c r="E369" s="59" t="str">
        <f>_xlfn.CONCAT("PS388","-",'Banco de Dados'!F369,"/","PSV5000","-",'Banco de Dados'!G369,"/","FLASH100","-",'Banco de Dados'!H369)</f>
        <v>PS388-/PSV5000-/FLASH100-</v>
      </c>
    </row>
    <row r="370" spans="1:5" x14ac:dyDescent="0.25">
      <c r="A370" s="1" t="s">
        <v>879</v>
      </c>
      <c r="B370" s="1">
        <f>'Banco de Dados'!J370</f>
        <v>0</v>
      </c>
      <c r="C370" s="1">
        <f>'Banco de Dados'!D370</f>
        <v>0</v>
      </c>
      <c r="D370" s="1">
        <f>'Banco de Dados'!L370</f>
        <v>0</v>
      </c>
      <c r="E370" s="59" t="str">
        <f>_xlfn.CONCAT("PS388","-",'Banco de Dados'!F370,"/","PSV5000","-",'Banco de Dados'!G370,"/","FLASH100","-",'Banco de Dados'!H370)</f>
        <v>PS388-/PSV5000-/FLASH100-</v>
      </c>
    </row>
    <row r="371" spans="1:5" x14ac:dyDescent="0.25">
      <c r="A371" s="1" t="s">
        <v>879</v>
      </c>
      <c r="B371" s="1">
        <f>'Banco de Dados'!J371</f>
        <v>0</v>
      </c>
      <c r="C371" s="1">
        <f>'Banco de Dados'!D371</f>
        <v>0</v>
      </c>
      <c r="D371" s="1">
        <f>'Banco de Dados'!L371</f>
        <v>0</v>
      </c>
      <c r="E371" s="59" t="str">
        <f>_xlfn.CONCAT("PS388","-",'Banco de Dados'!F371,"/","PSV5000","-",'Banco de Dados'!G371,"/","FLASH100","-",'Banco de Dados'!H371)</f>
        <v>PS388-/PSV5000-/FLASH100-</v>
      </c>
    </row>
    <row r="372" spans="1:5" x14ac:dyDescent="0.25">
      <c r="A372" s="1" t="s">
        <v>879</v>
      </c>
      <c r="B372" s="1">
        <f>'Banco de Dados'!J372</f>
        <v>0</v>
      </c>
      <c r="C372" s="1">
        <f>'Banco de Dados'!D372</f>
        <v>0</v>
      </c>
      <c r="D372" s="1">
        <f>'Banco de Dados'!L372</f>
        <v>0</v>
      </c>
      <c r="E372" s="59" t="str">
        <f>_xlfn.CONCAT("PS388","-",'Banco de Dados'!F372,"/","PSV5000","-",'Banco de Dados'!G372,"/","FLASH100","-",'Banco de Dados'!H372)</f>
        <v>PS388-/PSV5000-/FLASH100-</v>
      </c>
    </row>
    <row r="373" spans="1:5" x14ac:dyDescent="0.25">
      <c r="A373" s="1" t="s">
        <v>879</v>
      </c>
      <c r="B373" s="1">
        <f>'Banco de Dados'!J373</f>
        <v>0</v>
      </c>
      <c r="C373" s="1">
        <f>'Banco de Dados'!D373</f>
        <v>0</v>
      </c>
      <c r="D373" s="1">
        <f>'Banco de Dados'!L373</f>
        <v>0</v>
      </c>
      <c r="E373" s="59" t="str">
        <f>_xlfn.CONCAT("PS388","-",'Banco de Dados'!F373,"/","PSV5000","-",'Banco de Dados'!G373,"/","FLASH100","-",'Banco de Dados'!H373)</f>
        <v>PS388-/PSV5000-/FLASH100-</v>
      </c>
    </row>
    <row r="374" spans="1:5" x14ac:dyDescent="0.25">
      <c r="A374" s="1" t="s">
        <v>879</v>
      </c>
      <c r="B374" s="1">
        <f>'Banco de Dados'!J374</f>
        <v>0</v>
      </c>
      <c r="C374" s="1">
        <f>'Banco de Dados'!D374</f>
        <v>0</v>
      </c>
      <c r="D374" s="1">
        <f>'Banco de Dados'!L374</f>
        <v>0</v>
      </c>
      <c r="E374" s="59" t="str">
        <f>_xlfn.CONCAT("PS388","-",'Banco de Dados'!F374,"/","PSV5000","-",'Banco de Dados'!G374,"/","FLASH100","-",'Banco de Dados'!H374)</f>
        <v>PS388-/PSV5000-/FLASH100-</v>
      </c>
    </row>
    <row r="375" spans="1:5" x14ac:dyDescent="0.25">
      <c r="A375" s="1" t="s">
        <v>879</v>
      </c>
      <c r="B375" s="1">
        <f>'Banco de Dados'!J375</f>
        <v>0</v>
      </c>
      <c r="C375" s="1">
        <f>'Banco de Dados'!D375</f>
        <v>0</v>
      </c>
      <c r="D375" s="1">
        <f>'Banco de Dados'!L375</f>
        <v>0</v>
      </c>
      <c r="E375" s="59" t="str">
        <f>_xlfn.CONCAT("PS388","-",'Banco de Dados'!F375,"/","PSV5000","-",'Banco de Dados'!G375,"/","FLASH100","-",'Banco de Dados'!H375)</f>
        <v>PS388-/PSV5000-/FLASH100-</v>
      </c>
    </row>
    <row r="376" spans="1:5" x14ac:dyDescent="0.25">
      <c r="A376" s="1" t="s">
        <v>879</v>
      </c>
      <c r="B376" s="1">
        <f>'Banco de Dados'!J376</f>
        <v>0</v>
      </c>
      <c r="C376" s="1">
        <f>'Banco de Dados'!D376</f>
        <v>0</v>
      </c>
      <c r="D376" s="1">
        <f>'Banco de Dados'!L376</f>
        <v>0</v>
      </c>
      <c r="E376" s="59" t="str">
        <f>_xlfn.CONCAT("PS388","-",'Banco de Dados'!F376,"/","PSV5000","-",'Banco de Dados'!G376,"/","FLASH100","-",'Banco de Dados'!H376)</f>
        <v>PS388-/PSV5000-/FLASH100-</v>
      </c>
    </row>
    <row r="377" spans="1:5" x14ac:dyDescent="0.25">
      <c r="A377" s="1" t="s">
        <v>879</v>
      </c>
      <c r="B377" s="1">
        <f>'Banco de Dados'!J377</f>
        <v>0</v>
      </c>
      <c r="C377" s="1">
        <f>'Banco de Dados'!D377</f>
        <v>0</v>
      </c>
      <c r="D377" s="1">
        <f>'Banco de Dados'!L377</f>
        <v>0</v>
      </c>
      <c r="E377" s="59" t="str">
        <f>_xlfn.CONCAT("PS388","-",'Banco de Dados'!F377,"/","PSV5000","-",'Banco de Dados'!G377,"/","FLASH100","-",'Banco de Dados'!H377)</f>
        <v>PS388-/PSV5000-/FLASH100-</v>
      </c>
    </row>
    <row r="378" spans="1:5" x14ac:dyDescent="0.25">
      <c r="A378" s="1" t="s">
        <v>879</v>
      </c>
      <c r="B378" s="1">
        <f>'Banco de Dados'!J378</f>
        <v>0</v>
      </c>
      <c r="C378" s="1">
        <f>'Banco de Dados'!D378</f>
        <v>0</v>
      </c>
      <c r="D378" s="1">
        <f>'Banco de Dados'!L378</f>
        <v>0</v>
      </c>
      <c r="E378" s="59" t="str">
        <f>_xlfn.CONCAT("PS388","-",'Banco de Dados'!F378,"/","PSV5000","-",'Banco de Dados'!G378,"/","FLASH100","-",'Banco de Dados'!H378)</f>
        <v>PS388-/PSV5000-/FLASH100-</v>
      </c>
    </row>
    <row r="379" spans="1:5" x14ac:dyDescent="0.25">
      <c r="A379" s="1" t="s">
        <v>879</v>
      </c>
      <c r="B379" s="1">
        <f>'Banco de Dados'!J379</f>
        <v>0</v>
      </c>
      <c r="C379" s="1">
        <f>'Banco de Dados'!D379</f>
        <v>0</v>
      </c>
      <c r="D379" s="1">
        <f>'Banco de Dados'!L379</f>
        <v>0</v>
      </c>
      <c r="E379" s="59" t="str">
        <f>_xlfn.CONCAT("PS388","-",'Banco de Dados'!F379,"/","PSV5000","-",'Banco de Dados'!G379,"/","FLASH100","-",'Banco de Dados'!H379)</f>
        <v>PS388-/PSV5000-/FLASH100-</v>
      </c>
    </row>
    <row r="380" spans="1:5" x14ac:dyDescent="0.25">
      <c r="A380" s="1" t="s">
        <v>879</v>
      </c>
      <c r="B380" s="1">
        <f>'Banco de Dados'!J380</f>
        <v>0</v>
      </c>
      <c r="C380" s="1">
        <f>'Banco de Dados'!D380</f>
        <v>0</v>
      </c>
      <c r="D380" s="1">
        <f>'Banco de Dados'!L380</f>
        <v>0</v>
      </c>
      <c r="E380" s="59" t="str">
        <f>_xlfn.CONCAT("PS388","-",'Banco de Dados'!F380,"/","PSV5000","-",'Banco de Dados'!G380,"/","FLASH100","-",'Banco de Dados'!H380)</f>
        <v>PS388-/PSV5000-/FLASH100-</v>
      </c>
    </row>
    <row r="381" spans="1:5" x14ac:dyDescent="0.25">
      <c r="A381" s="1" t="s">
        <v>879</v>
      </c>
      <c r="B381" s="1">
        <f>'Banco de Dados'!J381</f>
        <v>0</v>
      </c>
      <c r="C381" s="1">
        <f>'Banco de Dados'!D381</f>
        <v>0</v>
      </c>
      <c r="D381" s="1">
        <f>'Banco de Dados'!L381</f>
        <v>0</v>
      </c>
      <c r="E381" s="59" t="str">
        <f>_xlfn.CONCAT("PS388","-",'Banco de Dados'!F381,"/","PSV5000","-",'Banco de Dados'!G381,"/","FLASH100","-",'Banco de Dados'!H381)</f>
        <v>PS388-/PSV5000-/FLASH100-</v>
      </c>
    </row>
    <row r="382" spans="1:5" x14ac:dyDescent="0.25">
      <c r="A382" s="1" t="s">
        <v>879</v>
      </c>
      <c r="B382" s="1">
        <f>'Banco de Dados'!J382</f>
        <v>0</v>
      </c>
      <c r="C382" s="1">
        <f>'Banco de Dados'!D382</f>
        <v>0</v>
      </c>
      <c r="D382" s="1">
        <f>'Banco de Dados'!L382</f>
        <v>0</v>
      </c>
      <c r="E382" s="59" t="str">
        <f>_xlfn.CONCAT("PS388","-",'Banco de Dados'!F382,"/","PSV5000","-",'Banco de Dados'!G382,"/","FLASH100","-",'Banco de Dados'!H382)</f>
        <v>PS388-/PSV5000-/FLASH100-</v>
      </c>
    </row>
    <row r="383" spans="1:5" x14ac:dyDescent="0.25">
      <c r="A383" s="1" t="s">
        <v>879</v>
      </c>
      <c r="B383" s="1">
        <f>'Banco de Dados'!J383</f>
        <v>0</v>
      </c>
      <c r="C383" s="1">
        <f>'Banco de Dados'!D383</f>
        <v>0</v>
      </c>
      <c r="D383" s="1">
        <f>'Banco de Dados'!L383</f>
        <v>0</v>
      </c>
      <c r="E383" s="59" t="str">
        <f>_xlfn.CONCAT("PS388","-",'Banco de Dados'!F383,"/","PSV5000","-",'Banco de Dados'!G383,"/","FLASH100","-",'Banco de Dados'!H383)</f>
        <v>PS388-/PSV5000-/FLASH100-</v>
      </c>
    </row>
    <row r="384" spans="1:5" x14ac:dyDescent="0.25">
      <c r="A384" s="1" t="s">
        <v>879</v>
      </c>
      <c r="B384" s="1">
        <f>'Banco de Dados'!J384</f>
        <v>0</v>
      </c>
      <c r="C384" s="1">
        <f>'Banco de Dados'!D384</f>
        <v>0</v>
      </c>
      <c r="D384" s="1">
        <f>'Banco de Dados'!L384</f>
        <v>0</v>
      </c>
      <c r="E384" s="59" t="str">
        <f>_xlfn.CONCAT("PS388","-",'Banco de Dados'!F384,"/","PSV5000","-",'Banco de Dados'!G384,"/","FLASH100","-",'Banco de Dados'!H384)</f>
        <v>PS388-/PSV5000-/FLASH100-</v>
      </c>
    </row>
    <row r="385" spans="1:5" x14ac:dyDescent="0.25">
      <c r="A385" s="1" t="s">
        <v>879</v>
      </c>
      <c r="B385" s="1">
        <f>'Banco de Dados'!J385</f>
        <v>0</v>
      </c>
      <c r="C385" s="1">
        <f>'Banco de Dados'!D385</f>
        <v>0</v>
      </c>
      <c r="D385" s="1">
        <f>'Banco de Dados'!L385</f>
        <v>0</v>
      </c>
      <c r="E385" s="59" t="str">
        <f>_xlfn.CONCAT("PS388","-",'Banco de Dados'!F385,"/","PSV5000","-",'Banco de Dados'!G385,"/","FLASH100","-",'Banco de Dados'!H385)</f>
        <v>PS388-/PSV5000-/FLASH100-</v>
      </c>
    </row>
    <row r="386" spans="1:5" x14ac:dyDescent="0.25">
      <c r="A386" s="1" t="s">
        <v>879</v>
      </c>
      <c r="B386" s="1">
        <f>'Banco de Dados'!J386</f>
        <v>0</v>
      </c>
      <c r="C386" s="1">
        <f>'Banco de Dados'!D386</f>
        <v>0</v>
      </c>
      <c r="D386" s="1">
        <f>'Banco de Dados'!L386</f>
        <v>0</v>
      </c>
      <c r="E386" s="59" t="str">
        <f>_xlfn.CONCAT("PS388","-",'Banco de Dados'!F386,"/","PSV5000","-",'Banco de Dados'!G386,"/","FLASH100","-",'Banco de Dados'!H386)</f>
        <v>PS388-/PSV5000-/FLASH100-</v>
      </c>
    </row>
    <row r="387" spans="1:5" x14ac:dyDescent="0.25">
      <c r="A387" s="1" t="s">
        <v>879</v>
      </c>
      <c r="B387" s="1">
        <f>'Banco de Dados'!J387</f>
        <v>0</v>
      </c>
      <c r="C387" s="1">
        <f>'Banco de Dados'!D387</f>
        <v>0</v>
      </c>
      <c r="D387" s="1">
        <f>'Banco de Dados'!L387</f>
        <v>0</v>
      </c>
      <c r="E387" s="59" t="str">
        <f>_xlfn.CONCAT("PS388","-",'Banco de Dados'!F387,"/","PSV5000","-",'Banco de Dados'!G387,"/","FLASH100","-",'Banco de Dados'!H387)</f>
        <v>PS388-/PSV5000-/FLASH100-</v>
      </c>
    </row>
    <row r="388" spans="1:5" x14ac:dyDescent="0.25">
      <c r="A388" s="1" t="s">
        <v>879</v>
      </c>
      <c r="B388" s="1">
        <f>'Banco de Dados'!J388</f>
        <v>0</v>
      </c>
      <c r="C388" s="1">
        <f>'Banco de Dados'!D388</f>
        <v>0</v>
      </c>
      <c r="D388" s="1">
        <f>'Banco de Dados'!L388</f>
        <v>0</v>
      </c>
      <c r="E388" s="59" t="str">
        <f>_xlfn.CONCAT("PS388","-",'Banco de Dados'!F388,"/","PSV5000","-",'Banco de Dados'!G388,"/","FLASH100","-",'Banco de Dados'!H388)</f>
        <v>PS388-/PSV5000-/FLASH100-</v>
      </c>
    </row>
    <row r="389" spans="1:5" x14ac:dyDescent="0.25">
      <c r="A389" s="1" t="s">
        <v>879</v>
      </c>
      <c r="B389" s="1">
        <f>'Banco de Dados'!J389</f>
        <v>0</v>
      </c>
      <c r="C389" s="1">
        <f>'Banco de Dados'!D389</f>
        <v>0</v>
      </c>
      <c r="D389" s="1">
        <f>'Banco de Dados'!L389</f>
        <v>0</v>
      </c>
      <c r="E389" s="59" t="str">
        <f>_xlfn.CONCAT("PS388","-",'Banco de Dados'!F389,"/","PSV5000","-",'Banco de Dados'!G389,"/","FLASH100","-",'Banco de Dados'!H389)</f>
        <v>PS388-/PSV5000-/FLASH100-</v>
      </c>
    </row>
    <row r="390" spans="1:5" x14ac:dyDescent="0.25">
      <c r="A390" s="1" t="s">
        <v>879</v>
      </c>
      <c r="B390" s="1">
        <f>'Banco de Dados'!J390</f>
        <v>0</v>
      </c>
      <c r="C390" s="1">
        <f>'Banco de Dados'!D390</f>
        <v>0</v>
      </c>
      <c r="D390" s="1">
        <f>'Banco de Dados'!L390</f>
        <v>0</v>
      </c>
      <c r="E390" s="59" t="str">
        <f>_xlfn.CONCAT("PS388","-",'Banco de Dados'!F390,"/","PSV5000","-",'Banco de Dados'!G390,"/","FLASH100","-",'Banco de Dados'!H390)</f>
        <v>PS388-/PSV5000-/FLASH100-</v>
      </c>
    </row>
    <row r="391" spans="1:5" x14ac:dyDescent="0.25">
      <c r="A391" s="1" t="s">
        <v>879</v>
      </c>
      <c r="B391" s="1">
        <f>'Banco de Dados'!J391</f>
        <v>0</v>
      </c>
      <c r="C391" s="1">
        <f>'Banco de Dados'!D391</f>
        <v>0</v>
      </c>
      <c r="D391" s="1">
        <f>'Banco de Dados'!L391</f>
        <v>0</v>
      </c>
      <c r="E391" s="59" t="str">
        <f>_xlfn.CONCAT("PS388","-",'Banco de Dados'!F391,"/","PSV5000","-",'Banco de Dados'!G391,"/","FLASH100","-",'Banco de Dados'!H391)</f>
        <v>PS388-/PSV5000-/FLASH100-</v>
      </c>
    </row>
    <row r="392" spans="1:5" x14ac:dyDescent="0.25">
      <c r="A392" s="1" t="s">
        <v>879</v>
      </c>
      <c r="B392" s="1">
        <f>'Banco de Dados'!J392</f>
        <v>0</v>
      </c>
      <c r="C392" s="1">
        <f>'Banco de Dados'!D392</f>
        <v>0</v>
      </c>
      <c r="D392" s="1">
        <f>'Banco de Dados'!L392</f>
        <v>0</v>
      </c>
      <c r="E392" s="59" t="str">
        <f>_xlfn.CONCAT("PS388","-",'Banco de Dados'!F392,"/","PSV5000","-",'Banco de Dados'!G392,"/","FLASH100","-",'Banco de Dados'!H392)</f>
        <v>PS388-/PSV5000-/FLASH100-</v>
      </c>
    </row>
    <row r="393" spans="1:5" x14ac:dyDescent="0.25">
      <c r="A393" s="1" t="s">
        <v>879</v>
      </c>
      <c r="B393" s="1">
        <f>'Banco de Dados'!J393</f>
        <v>0</v>
      </c>
      <c r="C393" s="1">
        <f>'Banco de Dados'!D393</f>
        <v>0</v>
      </c>
      <c r="D393" s="1">
        <f>'Banco de Dados'!L393</f>
        <v>0</v>
      </c>
      <c r="E393" s="59" t="str">
        <f>_xlfn.CONCAT("PS388","-",'Banco de Dados'!F393,"/","PSV5000","-",'Banco de Dados'!G393,"/","FLASH100","-",'Banco de Dados'!H393)</f>
        <v>PS388-/PSV5000-/FLASH100-</v>
      </c>
    </row>
    <row r="394" spans="1:5" x14ac:dyDescent="0.25">
      <c r="A394" s="1" t="s">
        <v>879</v>
      </c>
      <c r="B394" s="1">
        <f>'Banco de Dados'!J394</f>
        <v>0</v>
      </c>
      <c r="C394" s="1">
        <f>'Banco de Dados'!D394</f>
        <v>0</v>
      </c>
      <c r="D394" s="1">
        <f>'Banco de Dados'!L394</f>
        <v>0</v>
      </c>
      <c r="E394" s="59" t="str">
        <f>_xlfn.CONCAT("PS388","-",'Banco de Dados'!F394,"/","PSV5000","-",'Banco de Dados'!G394,"/","FLASH100","-",'Banco de Dados'!H394)</f>
        <v>PS388-/PSV5000-/FLASH100-</v>
      </c>
    </row>
    <row r="395" spans="1:5" x14ac:dyDescent="0.25">
      <c r="A395" s="1" t="s">
        <v>879</v>
      </c>
      <c r="B395" s="1">
        <f>'Banco de Dados'!J395</f>
        <v>0</v>
      </c>
      <c r="C395" s="1">
        <f>'Banco de Dados'!D395</f>
        <v>0</v>
      </c>
      <c r="D395" s="1">
        <f>'Banco de Dados'!L395</f>
        <v>0</v>
      </c>
      <c r="E395" s="59" t="str">
        <f>_xlfn.CONCAT("PS388","-",'Banco de Dados'!F395,"/","PSV5000","-",'Banco de Dados'!G395,"/","FLASH100","-",'Banco de Dados'!H395)</f>
        <v>PS388-/PSV5000-/FLASH100-</v>
      </c>
    </row>
    <row r="396" spans="1:5" x14ac:dyDescent="0.25">
      <c r="A396" s="1" t="s">
        <v>879</v>
      </c>
      <c r="B396" s="1">
        <f>'Banco de Dados'!J396</f>
        <v>0</v>
      </c>
      <c r="C396" s="1">
        <f>'Banco de Dados'!D396</f>
        <v>0</v>
      </c>
      <c r="D396" s="1">
        <f>'Banco de Dados'!L396</f>
        <v>0</v>
      </c>
      <c r="E396" s="59" t="str">
        <f>_xlfn.CONCAT("PS388","-",'Banco de Dados'!F396,"/","PSV5000","-",'Banco de Dados'!G396,"/","FLASH100","-",'Banco de Dados'!H396)</f>
        <v>PS388-/PSV5000-/FLASH100-</v>
      </c>
    </row>
    <row r="397" spans="1:5" x14ac:dyDescent="0.25">
      <c r="A397" s="1" t="s">
        <v>879</v>
      </c>
      <c r="B397" s="1">
        <f>'Banco de Dados'!J397</f>
        <v>0</v>
      </c>
      <c r="C397" s="1">
        <f>'Banco de Dados'!D397</f>
        <v>0</v>
      </c>
      <c r="D397" s="1">
        <f>'Banco de Dados'!L397</f>
        <v>0</v>
      </c>
      <c r="E397" s="59" t="str">
        <f>_xlfn.CONCAT("PS388","-",'Banco de Dados'!F397,"/","PSV5000","-",'Banco de Dados'!G397,"/","FLASH100","-",'Banco de Dados'!H397)</f>
        <v>PS388-/PSV5000-/FLASH100-</v>
      </c>
    </row>
    <row r="398" spans="1:5" x14ac:dyDescent="0.25">
      <c r="A398" s="1" t="s">
        <v>879</v>
      </c>
      <c r="B398" s="1">
        <f>'Banco de Dados'!J398</f>
        <v>0</v>
      </c>
      <c r="C398" s="1">
        <f>'Banco de Dados'!D398</f>
        <v>0</v>
      </c>
      <c r="D398" s="1">
        <f>'Banco de Dados'!L398</f>
        <v>0</v>
      </c>
      <c r="E398" s="59" t="str">
        <f>_xlfn.CONCAT("PS388","-",'Banco de Dados'!F398,"/","PSV5000","-",'Banco de Dados'!G398,"/","FLASH100","-",'Banco de Dados'!H398)</f>
        <v>PS388-/PSV5000-/FLASH100-</v>
      </c>
    </row>
    <row r="399" spans="1:5" x14ac:dyDescent="0.25">
      <c r="A399" s="1" t="s">
        <v>879</v>
      </c>
      <c r="B399" s="1">
        <f>'Banco de Dados'!J399</f>
        <v>0</v>
      </c>
      <c r="C399" s="1">
        <f>'Banco de Dados'!D399</f>
        <v>0</v>
      </c>
      <c r="D399" s="1">
        <f>'Banco de Dados'!L399</f>
        <v>0</v>
      </c>
      <c r="E399" s="59" t="str">
        <f>_xlfn.CONCAT("PS388","-",'Banco de Dados'!F399,"/","PSV5000","-",'Banco de Dados'!G399,"/","FLASH100","-",'Banco de Dados'!H399)</f>
        <v>PS388-/PSV5000-/FLASH100-</v>
      </c>
    </row>
    <row r="400" spans="1:5" x14ac:dyDescent="0.25">
      <c r="A400" s="1" t="s">
        <v>879</v>
      </c>
      <c r="B400" s="1">
        <f>'Banco de Dados'!J400</f>
        <v>0</v>
      </c>
      <c r="C400" s="1">
        <f>'Banco de Dados'!D400</f>
        <v>0</v>
      </c>
      <c r="D400" s="1">
        <f>'Banco de Dados'!L400</f>
        <v>0</v>
      </c>
      <c r="E400" s="59" t="str">
        <f>_xlfn.CONCAT("PS388","-",'Banco de Dados'!F400,"/","PSV5000","-",'Banco de Dados'!G400,"/","FLASH100","-",'Banco de Dados'!H400)</f>
        <v>PS388-/PSV5000-/FLASH100-</v>
      </c>
    </row>
    <row r="401" spans="1:5" x14ac:dyDescent="0.25">
      <c r="A401" s="1" t="s">
        <v>879</v>
      </c>
      <c r="B401" s="1">
        <f>'Banco de Dados'!J401</f>
        <v>0</v>
      </c>
      <c r="C401" s="1">
        <f>'Banco de Dados'!D401</f>
        <v>0</v>
      </c>
      <c r="D401" s="1">
        <f>'Banco de Dados'!L401</f>
        <v>0</v>
      </c>
      <c r="E401" s="59" t="str">
        <f>_xlfn.CONCAT("PS388","-",'Banco de Dados'!F401,"/","PSV5000","-",'Banco de Dados'!G401,"/","FLASH100","-",'Banco de Dados'!H401)</f>
        <v>PS388-/PSV5000-/FLASH100-</v>
      </c>
    </row>
    <row r="402" spans="1:5" x14ac:dyDescent="0.25">
      <c r="A402" s="1" t="s">
        <v>879</v>
      </c>
      <c r="B402" s="1">
        <f>'Banco de Dados'!J402</f>
        <v>0</v>
      </c>
      <c r="C402" s="1">
        <f>'Banco de Dados'!D402</f>
        <v>0</v>
      </c>
      <c r="D402" s="1">
        <f>'Banco de Dados'!L402</f>
        <v>0</v>
      </c>
      <c r="E402" s="59" t="str">
        <f>_xlfn.CONCAT("PS388","-",'Banco de Dados'!F402,"/","PSV5000","-",'Banco de Dados'!G402,"/","FLASH100","-",'Banco de Dados'!H402)</f>
        <v>PS388-/PSV5000-/FLASH100-</v>
      </c>
    </row>
    <row r="403" spans="1:5" x14ac:dyDescent="0.25">
      <c r="A403" s="1" t="s">
        <v>879</v>
      </c>
      <c r="B403" s="1">
        <f>'Banco de Dados'!J403</f>
        <v>0</v>
      </c>
      <c r="C403" s="1">
        <f>'Banco de Dados'!D403</f>
        <v>0</v>
      </c>
      <c r="D403" s="1">
        <f>'Banco de Dados'!L403</f>
        <v>0</v>
      </c>
      <c r="E403" s="59" t="str">
        <f>_xlfn.CONCAT("PS388","-",'Banco de Dados'!F403,"/","PSV5000","-",'Banco de Dados'!G403,"/","FLASH100","-",'Banco de Dados'!H403)</f>
        <v>PS388-/PSV5000-/FLASH100-</v>
      </c>
    </row>
    <row r="404" spans="1:5" x14ac:dyDescent="0.25">
      <c r="A404" s="1" t="s">
        <v>879</v>
      </c>
      <c r="B404" s="1">
        <f>'Banco de Dados'!J404</f>
        <v>0</v>
      </c>
      <c r="C404" s="1">
        <f>'Banco de Dados'!D404</f>
        <v>0</v>
      </c>
      <c r="D404" s="1">
        <f>'Banco de Dados'!L404</f>
        <v>0</v>
      </c>
      <c r="E404" s="59" t="str">
        <f>_xlfn.CONCAT("PS388","-",'Banco de Dados'!F404,"/","PSV5000","-",'Banco de Dados'!G404,"/","FLASH100","-",'Banco de Dados'!H404)</f>
        <v>PS388-/PSV5000-/FLASH100-</v>
      </c>
    </row>
    <row r="405" spans="1:5" x14ac:dyDescent="0.25">
      <c r="A405" s="1" t="s">
        <v>879</v>
      </c>
      <c r="B405" s="1">
        <f>'Banco de Dados'!J405</f>
        <v>0</v>
      </c>
      <c r="C405" s="1">
        <f>'Banco de Dados'!D405</f>
        <v>0</v>
      </c>
      <c r="D405" s="1">
        <f>'Banco de Dados'!L405</f>
        <v>0</v>
      </c>
      <c r="E405" s="59" t="str">
        <f>_xlfn.CONCAT("PS388","-",'Banco de Dados'!F405,"/","PSV5000","-",'Banco de Dados'!G405,"/","FLASH100","-",'Banco de Dados'!H405)</f>
        <v>PS388-/PSV5000-/FLASH100-</v>
      </c>
    </row>
    <row r="406" spans="1:5" x14ac:dyDescent="0.25">
      <c r="A406" s="1" t="s">
        <v>879</v>
      </c>
      <c r="B406" s="1">
        <f>'Banco de Dados'!J406</f>
        <v>0</v>
      </c>
      <c r="C406" s="1">
        <f>'Banco de Dados'!D406</f>
        <v>0</v>
      </c>
      <c r="D406" s="1">
        <f>'Banco de Dados'!L406</f>
        <v>0</v>
      </c>
      <c r="E406" s="59" t="str">
        <f>_xlfn.CONCAT("PS388","-",'Banco de Dados'!F406,"/","PSV5000","-",'Banco de Dados'!G406,"/","FLASH100","-",'Banco de Dados'!H406)</f>
        <v>PS388-/PSV5000-/FLASH100-</v>
      </c>
    </row>
    <row r="407" spans="1:5" x14ac:dyDescent="0.25">
      <c r="A407" s="1" t="s">
        <v>879</v>
      </c>
      <c r="B407" s="1">
        <f>'Banco de Dados'!J407</f>
        <v>0</v>
      </c>
      <c r="C407" s="1">
        <f>'Banco de Dados'!D407</f>
        <v>0</v>
      </c>
      <c r="D407" s="1">
        <f>'Banco de Dados'!L407</f>
        <v>0</v>
      </c>
      <c r="E407" s="59" t="str">
        <f>_xlfn.CONCAT("PS388","-",'Banco de Dados'!F407,"/","PSV5000","-",'Banco de Dados'!G407,"/","FLASH100","-",'Banco de Dados'!H407)</f>
        <v>PS388-/PSV5000-/FLASH100-</v>
      </c>
    </row>
    <row r="408" spans="1:5" x14ac:dyDescent="0.25">
      <c r="A408" s="1" t="s">
        <v>879</v>
      </c>
      <c r="B408" s="1">
        <f>'Banco de Dados'!J408</f>
        <v>0</v>
      </c>
      <c r="C408" s="1">
        <f>'Banco de Dados'!D408</f>
        <v>0</v>
      </c>
      <c r="D408" s="1">
        <f>'Banco de Dados'!L408</f>
        <v>0</v>
      </c>
      <c r="E408" s="59" t="str">
        <f>_xlfn.CONCAT("PS388","-",'Banco de Dados'!F408,"/","PSV5000","-",'Banco de Dados'!G408,"/","FLASH100","-",'Banco de Dados'!H408)</f>
        <v>PS388-/PSV5000-/FLASH100-</v>
      </c>
    </row>
    <row r="409" spans="1:5" x14ac:dyDescent="0.25">
      <c r="A409" s="1" t="s">
        <v>879</v>
      </c>
      <c r="B409" s="1">
        <f>'Banco de Dados'!J409</f>
        <v>0</v>
      </c>
      <c r="C409" s="1">
        <f>'Banco de Dados'!D409</f>
        <v>0</v>
      </c>
      <c r="D409" s="1">
        <f>'Banco de Dados'!L409</f>
        <v>0</v>
      </c>
      <c r="E409" s="59" t="str">
        <f>_xlfn.CONCAT("PS388","-",'Banco de Dados'!F409,"/","PSV5000","-",'Banco de Dados'!G409,"/","FLASH100","-",'Banco de Dados'!H409)</f>
        <v>PS388-/PSV5000-/FLASH100-</v>
      </c>
    </row>
    <row r="410" spans="1:5" x14ac:dyDescent="0.25">
      <c r="A410" s="1" t="s">
        <v>879</v>
      </c>
      <c r="B410" s="1">
        <f>'Banco de Dados'!J410</f>
        <v>0</v>
      </c>
      <c r="C410" s="1">
        <f>'Banco de Dados'!D410</f>
        <v>0</v>
      </c>
      <c r="D410" s="1">
        <f>'Banco de Dados'!L410</f>
        <v>0</v>
      </c>
      <c r="E410" s="59" t="str">
        <f>_xlfn.CONCAT("PS388","-",'Banco de Dados'!F410,"/","PSV5000","-",'Banco de Dados'!G410,"/","FLASH100","-",'Banco de Dados'!H410)</f>
        <v>PS388-/PSV5000-/FLASH100-</v>
      </c>
    </row>
    <row r="411" spans="1:5" x14ac:dyDescent="0.25">
      <c r="A411" s="1" t="s">
        <v>879</v>
      </c>
      <c r="B411" s="1">
        <f>'Banco de Dados'!J411</f>
        <v>0</v>
      </c>
      <c r="C411" s="1">
        <f>'Banco de Dados'!D411</f>
        <v>0</v>
      </c>
      <c r="D411" s="1">
        <f>'Banco de Dados'!L411</f>
        <v>0</v>
      </c>
      <c r="E411" s="59" t="str">
        <f>_xlfn.CONCAT("PS388","-",'Banco de Dados'!F411,"/","PSV5000","-",'Banco de Dados'!G411,"/","FLASH100","-",'Banco de Dados'!H411)</f>
        <v>PS388-/PSV5000-/FLASH100-</v>
      </c>
    </row>
    <row r="412" spans="1:5" x14ac:dyDescent="0.25">
      <c r="A412" s="1" t="s">
        <v>879</v>
      </c>
      <c r="B412" s="1">
        <f>'Banco de Dados'!J412</f>
        <v>0</v>
      </c>
      <c r="C412" s="1">
        <f>'Banco de Dados'!D412</f>
        <v>0</v>
      </c>
      <c r="D412" s="1">
        <f>'Banco de Dados'!L412</f>
        <v>0</v>
      </c>
      <c r="E412" s="59" t="str">
        <f>_xlfn.CONCAT("PS388","-",'Banco de Dados'!F412,"/","PSV5000","-",'Banco de Dados'!G412,"/","FLASH100","-",'Banco de Dados'!H412)</f>
        <v>PS388-/PSV5000-/FLASH100-</v>
      </c>
    </row>
    <row r="413" spans="1:5" x14ac:dyDescent="0.25">
      <c r="A413" s="1" t="s">
        <v>879</v>
      </c>
      <c r="B413" s="1">
        <f>'Banco de Dados'!J413</f>
        <v>0</v>
      </c>
      <c r="C413" s="1">
        <f>'Banco de Dados'!D413</f>
        <v>0</v>
      </c>
      <c r="D413" s="1">
        <f>'Banco de Dados'!L413</f>
        <v>0</v>
      </c>
      <c r="E413" s="59" t="str">
        <f>_xlfn.CONCAT("PS388","-",'Banco de Dados'!F413,"/","PSV5000","-",'Banco de Dados'!G413,"/","FLASH100","-",'Banco de Dados'!H413)</f>
        <v>PS388-/PSV5000-/FLASH100-</v>
      </c>
    </row>
    <row r="414" spans="1:5" x14ac:dyDescent="0.25">
      <c r="A414" s="1" t="s">
        <v>879</v>
      </c>
      <c r="B414" s="1">
        <f>'Banco de Dados'!J414</f>
        <v>0</v>
      </c>
      <c r="C414" s="1">
        <f>'Banco de Dados'!D414</f>
        <v>0</v>
      </c>
      <c r="D414" s="1">
        <f>'Banco de Dados'!L414</f>
        <v>0</v>
      </c>
      <c r="E414" s="59" t="str">
        <f>_xlfn.CONCAT("PS388","-",'Banco de Dados'!F414,"/","PSV5000","-",'Banco de Dados'!G414,"/","FLASH100","-",'Banco de Dados'!H414)</f>
        <v>PS388-/PSV5000-/FLASH100-</v>
      </c>
    </row>
    <row r="415" spans="1:5" x14ac:dyDescent="0.25">
      <c r="A415" s="1" t="s">
        <v>879</v>
      </c>
      <c r="B415" s="1">
        <f>'Banco de Dados'!J415</f>
        <v>0</v>
      </c>
      <c r="C415" s="1">
        <f>'Banco de Dados'!D415</f>
        <v>0</v>
      </c>
      <c r="D415" s="1">
        <f>'Banco de Dados'!L415</f>
        <v>0</v>
      </c>
      <c r="E415" s="59" t="str">
        <f>_xlfn.CONCAT("PS388","-",'Banco de Dados'!F415,"/","PSV5000","-",'Banco de Dados'!G415,"/","FLASH100","-",'Banco de Dados'!H415)</f>
        <v>PS388-/PSV5000-/FLASH100-</v>
      </c>
    </row>
    <row r="416" spans="1:5" x14ac:dyDescent="0.25">
      <c r="A416" s="1" t="s">
        <v>879</v>
      </c>
      <c r="B416" s="1">
        <f>'Banco de Dados'!J416</f>
        <v>0</v>
      </c>
      <c r="C416" s="1">
        <f>'Banco de Dados'!D416</f>
        <v>0</v>
      </c>
      <c r="D416" s="1">
        <f>'Banco de Dados'!L416</f>
        <v>0</v>
      </c>
      <c r="E416" s="59" t="str">
        <f>_xlfn.CONCAT("PS388","-",'Banco de Dados'!F416,"/","PSV5000","-",'Banco de Dados'!G416,"/","FLASH100","-",'Banco de Dados'!H416)</f>
        <v>PS388-/PSV5000-/FLASH100-</v>
      </c>
    </row>
    <row r="417" spans="1:5" x14ac:dyDescent="0.25">
      <c r="A417" s="1" t="s">
        <v>879</v>
      </c>
      <c r="B417" s="1">
        <f>'Banco de Dados'!J417</f>
        <v>0</v>
      </c>
      <c r="C417" s="1">
        <f>'Banco de Dados'!D417</f>
        <v>0</v>
      </c>
      <c r="D417" s="1">
        <f>'Banco de Dados'!L417</f>
        <v>0</v>
      </c>
      <c r="E417" s="59" t="str">
        <f>_xlfn.CONCAT("PS388","-",'Banco de Dados'!F417,"/","PSV5000","-",'Banco de Dados'!G417,"/","FLASH100","-",'Banco de Dados'!H417)</f>
        <v>PS388-/PSV5000-/FLASH100-</v>
      </c>
    </row>
    <row r="418" spans="1:5" x14ac:dyDescent="0.25">
      <c r="A418" s="1" t="s">
        <v>879</v>
      </c>
      <c r="B418" s="1">
        <f>'Banco de Dados'!J418</f>
        <v>0</v>
      </c>
      <c r="C418" s="1">
        <f>'Banco de Dados'!D418</f>
        <v>0</v>
      </c>
      <c r="D418" s="1">
        <f>'Banco de Dados'!L418</f>
        <v>0</v>
      </c>
      <c r="E418" s="59" t="str">
        <f>_xlfn.CONCAT("PS388","-",'Banco de Dados'!F418,"/","PSV5000","-",'Banco de Dados'!G418,"/","FLASH100","-",'Banco de Dados'!H418)</f>
        <v>PS388-/PSV5000-/FLASH100-</v>
      </c>
    </row>
    <row r="419" spans="1:5" x14ac:dyDescent="0.25">
      <c r="A419" s="1" t="s">
        <v>879</v>
      </c>
      <c r="B419" s="1">
        <f>'Banco de Dados'!J419</f>
        <v>0</v>
      </c>
      <c r="C419" s="1">
        <f>'Banco de Dados'!D419</f>
        <v>0</v>
      </c>
      <c r="D419" s="1">
        <f>'Banco de Dados'!L419</f>
        <v>0</v>
      </c>
      <c r="E419" s="59" t="str">
        <f>_xlfn.CONCAT("PS388","-",'Banco de Dados'!F419,"/","PSV5000","-",'Banco de Dados'!G419,"/","FLASH100","-",'Banco de Dados'!H419)</f>
        <v>PS388-/PSV5000-/FLASH100-</v>
      </c>
    </row>
    <row r="420" spans="1:5" x14ac:dyDescent="0.25">
      <c r="A420" s="1" t="s">
        <v>879</v>
      </c>
      <c r="B420" s="1">
        <f>'Banco de Dados'!J420</f>
        <v>0</v>
      </c>
      <c r="C420" s="1">
        <f>'Banco de Dados'!D420</f>
        <v>0</v>
      </c>
      <c r="D420" s="1">
        <f>'Banco de Dados'!L420</f>
        <v>0</v>
      </c>
      <c r="E420" s="59" t="str">
        <f>_xlfn.CONCAT("PS388","-",'Banco de Dados'!F420,"/","PSV5000","-",'Banco de Dados'!G420,"/","FLASH100","-",'Banco de Dados'!H420)</f>
        <v>PS388-/PSV5000-/FLASH100-</v>
      </c>
    </row>
    <row r="421" spans="1:5" x14ac:dyDescent="0.25">
      <c r="A421" s="1" t="s">
        <v>879</v>
      </c>
      <c r="B421" s="1">
        <f>'Banco de Dados'!J421</f>
        <v>0</v>
      </c>
      <c r="C421" s="1">
        <f>'Banco de Dados'!D421</f>
        <v>0</v>
      </c>
      <c r="D421" s="1">
        <f>'Banco de Dados'!L421</f>
        <v>0</v>
      </c>
      <c r="E421" s="59" t="str">
        <f>_xlfn.CONCAT("PS388","-",'Banco de Dados'!F421,"/","PSV5000","-",'Banco de Dados'!G421,"/","FLASH100","-",'Banco de Dados'!H421)</f>
        <v>PS388-/PSV5000-/FLASH100-</v>
      </c>
    </row>
    <row r="422" spans="1:5" x14ac:dyDescent="0.25">
      <c r="A422" s="1" t="s">
        <v>879</v>
      </c>
      <c r="B422" s="1">
        <f>'Banco de Dados'!J422</f>
        <v>0</v>
      </c>
      <c r="C422" s="1">
        <f>'Banco de Dados'!D422</f>
        <v>0</v>
      </c>
      <c r="D422" s="1">
        <f>'Banco de Dados'!L422</f>
        <v>0</v>
      </c>
      <c r="E422" s="59" t="str">
        <f>_xlfn.CONCAT("PS388","-",'Banco de Dados'!F422,"/","PSV5000","-",'Banco de Dados'!G422,"/","FLASH100","-",'Banco de Dados'!H422)</f>
        <v>PS388-/PSV5000-/FLASH100-</v>
      </c>
    </row>
    <row r="423" spans="1:5" x14ac:dyDescent="0.25">
      <c r="A423" s="1" t="s">
        <v>879</v>
      </c>
      <c r="B423" s="1">
        <f>'Banco de Dados'!J423</f>
        <v>0</v>
      </c>
      <c r="C423" s="1">
        <f>'Banco de Dados'!D423</f>
        <v>0</v>
      </c>
      <c r="D423" s="1">
        <f>'Banco de Dados'!L423</f>
        <v>0</v>
      </c>
      <c r="E423" s="59" t="str">
        <f>_xlfn.CONCAT("PS388","-",'Banco de Dados'!F423,"/","PSV5000","-",'Banco de Dados'!G423,"/","FLASH100","-",'Banco de Dados'!H423)</f>
        <v>PS388-/PSV5000-/FLASH100-</v>
      </c>
    </row>
    <row r="424" spans="1:5" x14ac:dyDescent="0.25">
      <c r="A424" s="1" t="s">
        <v>879</v>
      </c>
      <c r="B424" s="1">
        <f>'Banco de Dados'!J424</f>
        <v>0</v>
      </c>
      <c r="C424" s="1">
        <f>'Banco de Dados'!D424</f>
        <v>0</v>
      </c>
      <c r="D424" s="1">
        <f>'Banco de Dados'!L424</f>
        <v>0</v>
      </c>
      <c r="E424" s="59" t="str">
        <f>_xlfn.CONCAT("PS388","-",'Banco de Dados'!F424,"/","PSV5000","-",'Banco de Dados'!G424,"/","FLASH100","-",'Banco de Dados'!H424)</f>
        <v>PS388-/PSV5000-/FLASH100-</v>
      </c>
    </row>
    <row r="425" spans="1:5" x14ac:dyDescent="0.25">
      <c r="A425" s="1" t="s">
        <v>879</v>
      </c>
      <c r="B425" s="1">
        <f>'Banco de Dados'!J425</f>
        <v>0</v>
      </c>
      <c r="C425" s="1">
        <f>'Banco de Dados'!D425</f>
        <v>0</v>
      </c>
      <c r="D425" s="1">
        <f>'Banco de Dados'!L425</f>
        <v>0</v>
      </c>
      <c r="E425" s="59" t="str">
        <f>_xlfn.CONCAT("PS388","-",'Banco de Dados'!F425,"/","PSV5000","-",'Banco de Dados'!G425,"/","FLASH100","-",'Banco de Dados'!H425)</f>
        <v>PS388-/PSV5000-/FLASH100-</v>
      </c>
    </row>
    <row r="426" spans="1:5" x14ac:dyDescent="0.25">
      <c r="A426" s="1" t="s">
        <v>879</v>
      </c>
      <c r="B426" s="1">
        <f>'Banco de Dados'!J426</f>
        <v>0</v>
      </c>
      <c r="C426" s="1">
        <f>'Banco de Dados'!D426</f>
        <v>0</v>
      </c>
      <c r="D426" s="1">
        <f>'Banco de Dados'!L426</f>
        <v>0</v>
      </c>
      <c r="E426" s="59" t="str">
        <f>_xlfn.CONCAT("PS388","-",'Banco de Dados'!F426,"/","PSV5000","-",'Banco de Dados'!G426,"/","FLASH100","-",'Banco de Dados'!H426)</f>
        <v>PS388-/PSV5000-/FLASH100-</v>
      </c>
    </row>
    <row r="427" spans="1:5" x14ac:dyDescent="0.25">
      <c r="A427" s="1" t="s">
        <v>879</v>
      </c>
      <c r="B427" s="1">
        <f>'Banco de Dados'!J427</f>
        <v>0</v>
      </c>
      <c r="C427" s="1">
        <f>'Banco de Dados'!D427</f>
        <v>0</v>
      </c>
      <c r="D427" s="1">
        <f>'Banco de Dados'!L427</f>
        <v>0</v>
      </c>
      <c r="E427" s="59" t="str">
        <f>_xlfn.CONCAT("PS388","-",'Banco de Dados'!F427,"/","PSV5000","-",'Banco de Dados'!G427,"/","FLASH100","-",'Banco de Dados'!H427)</f>
        <v>PS388-/PSV5000-/FLASH100-</v>
      </c>
    </row>
    <row r="428" spans="1:5" x14ac:dyDescent="0.25">
      <c r="A428" s="1" t="s">
        <v>879</v>
      </c>
      <c r="B428" s="1">
        <f>'Banco de Dados'!J428</f>
        <v>0</v>
      </c>
      <c r="C428" s="1">
        <f>'Banco de Dados'!D428</f>
        <v>0</v>
      </c>
      <c r="D428" s="1">
        <f>'Banco de Dados'!L428</f>
        <v>0</v>
      </c>
      <c r="E428" s="59" t="str">
        <f>_xlfn.CONCAT("PS388","-",'Banco de Dados'!F428,"/","PSV5000","-",'Banco de Dados'!G428,"/","FLASH100","-",'Banco de Dados'!H428)</f>
        <v>PS388-/PSV5000-/FLASH100-</v>
      </c>
    </row>
    <row r="429" spans="1:5" x14ac:dyDescent="0.25">
      <c r="A429" s="1" t="s">
        <v>879</v>
      </c>
      <c r="B429" s="1">
        <f>'Banco de Dados'!J429</f>
        <v>0</v>
      </c>
      <c r="C429" s="1">
        <f>'Banco de Dados'!D429</f>
        <v>0</v>
      </c>
      <c r="D429" s="1">
        <f>'Banco de Dados'!L429</f>
        <v>0</v>
      </c>
      <c r="E429" s="59" t="str">
        <f>_xlfn.CONCAT("PS388","-",'Banco de Dados'!F429,"/","PSV5000","-",'Banco de Dados'!G429,"/","FLASH100","-",'Banco de Dados'!H429)</f>
        <v>PS388-/PSV5000-/FLASH100-</v>
      </c>
    </row>
    <row r="430" spans="1:5" x14ac:dyDescent="0.25">
      <c r="A430" s="1" t="s">
        <v>879</v>
      </c>
      <c r="B430" s="1">
        <f>'Banco de Dados'!J430</f>
        <v>0</v>
      </c>
      <c r="C430" s="1">
        <f>'Banco de Dados'!D430</f>
        <v>0</v>
      </c>
      <c r="D430" s="1">
        <f>'Banco de Dados'!L430</f>
        <v>0</v>
      </c>
      <c r="E430" s="59" t="str">
        <f>_xlfn.CONCAT("PS388","-",'Banco de Dados'!F430,"/","PSV5000","-",'Banco de Dados'!G430,"/","FLASH100","-",'Banco de Dados'!H430)</f>
        <v>PS388-/PSV5000-/FLASH100-</v>
      </c>
    </row>
    <row r="431" spans="1:5" x14ac:dyDescent="0.25">
      <c r="A431" s="1" t="s">
        <v>879</v>
      </c>
      <c r="B431" s="1">
        <f>'Banco de Dados'!J431</f>
        <v>0</v>
      </c>
      <c r="C431" s="1">
        <f>'Banco de Dados'!D431</f>
        <v>0</v>
      </c>
      <c r="D431" s="1">
        <f>'Banco de Dados'!L431</f>
        <v>0</v>
      </c>
      <c r="E431" s="59" t="str">
        <f>_xlfn.CONCAT("PS388","-",'Banco de Dados'!F431,"/","PSV5000","-",'Banco de Dados'!G431,"/","FLASH100","-",'Banco de Dados'!H431)</f>
        <v>PS388-/PSV5000-/FLASH100-</v>
      </c>
    </row>
    <row r="432" spans="1:5" x14ac:dyDescent="0.25">
      <c r="A432" s="1" t="s">
        <v>879</v>
      </c>
      <c r="B432" s="1">
        <f>'Banco de Dados'!J432</f>
        <v>0</v>
      </c>
      <c r="C432" s="1">
        <f>'Banco de Dados'!D432</f>
        <v>0</v>
      </c>
      <c r="D432" s="1">
        <f>'Banco de Dados'!L432</f>
        <v>0</v>
      </c>
      <c r="E432" s="59" t="str">
        <f>_xlfn.CONCAT("PS388","-",'Banco de Dados'!F432,"/","PSV5000","-",'Banco de Dados'!G432,"/","FLASH100","-",'Banco de Dados'!H432)</f>
        <v>PS388-/PSV5000-/FLASH100-</v>
      </c>
    </row>
    <row r="433" spans="1:5" x14ac:dyDescent="0.25">
      <c r="A433" s="1" t="s">
        <v>879</v>
      </c>
      <c r="B433" s="1">
        <f>'Banco de Dados'!J433</f>
        <v>0</v>
      </c>
      <c r="C433" s="1">
        <f>'Banco de Dados'!D433</f>
        <v>0</v>
      </c>
      <c r="D433" s="1">
        <f>'Banco de Dados'!L433</f>
        <v>0</v>
      </c>
      <c r="E433" s="59" t="str">
        <f>_xlfn.CONCAT("PS388","-",'Banco de Dados'!F433,"/","PSV5000","-",'Banco de Dados'!G433,"/","FLASH100","-",'Banco de Dados'!H433)</f>
        <v>PS388-/PSV5000-/FLASH100-</v>
      </c>
    </row>
    <row r="434" spans="1:5" x14ac:dyDescent="0.25">
      <c r="A434" s="1" t="s">
        <v>879</v>
      </c>
      <c r="B434" s="1">
        <f>'Banco de Dados'!J434</f>
        <v>0</v>
      </c>
      <c r="C434" s="1">
        <f>'Banco de Dados'!D434</f>
        <v>0</v>
      </c>
      <c r="D434" s="1">
        <f>'Banco de Dados'!L434</f>
        <v>0</v>
      </c>
      <c r="E434" s="59" t="str">
        <f>_xlfn.CONCAT("PS388","-",'Banco de Dados'!F434,"/","PSV5000","-",'Banco de Dados'!G434,"/","FLASH100","-",'Banco de Dados'!H434)</f>
        <v>PS388-/PSV5000-/FLASH100-</v>
      </c>
    </row>
    <row r="435" spans="1:5" x14ac:dyDescent="0.25">
      <c r="A435" s="1" t="s">
        <v>879</v>
      </c>
      <c r="B435" s="1">
        <f>'Banco de Dados'!J435</f>
        <v>0</v>
      </c>
      <c r="C435" s="1">
        <f>'Banco de Dados'!D435</f>
        <v>0</v>
      </c>
      <c r="D435" s="1">
        <f>'Banco de Dados'!L435</f>
        <v>0</v>
      </c>
      <c r="E435" s="59" t="str">
        <f>_xlfn.CONCAT("PS388","-",'Banco de Dados'!F435,"/","PSV5000","-",'Banco de Dados'!G435,"/","FLASH100","-",'Banco de Dados'!H435)</f>
        <v>PS388-/PSV5000-/FLASH100-</v>
      </c>
    </row>
    <row r="436" spans="1:5" x14ac:dyDescent="0.25">
      <c r="A436" s="1" t="s">
        <v>879</v>
      </c>
      <c r="B436" s="1">
        <f>'Banco de Dados'!J436</f>
        <v>0</v>
      </c>
      <c r="C436" s="1">
        <f>'Banco de Dados'!D436</f>
        <v>0</v>
      </c>
      <c r="D436" s="1">
        <f>'Banco de Dados'!L436</f>
        <v>0</v>
      </c>
      <c r="E436" s="59" t="str">
        <f>_xlfn.CONCAT("PS388","-",'Banco de Dados'!F436,"/","PSV5000","-",'Banco de Dados'!G436,"/","FLASH100","-",'Banco de Dados'!H436)</f>
        <v>PS388-/PSV5000-/FLASH100-</v>
      </c>
    </row>
    <row r="437" spans="1:5" x14ac:dyDescent="0.25">
      <c r="A437" s="1" t="s">
        <v>879</v>
      </c>
      <c r="B437" s="1">
        <f>'Banco de Dados'!J437</f>
        <v>0</v>
      </c>
      <c r="C437" s="1">
        <f>'Banco de Dados'!D437</f>
        <v>0</v>
      </c>
      <c r="D437" s="1">
        <f>'Banco de Dados'!L437</f>
        <v>0</v>
      </c>
      <c r="E437" s="59" t="str">
        <f>_xlfn.CONCAT("PS388","-",'Banco de Dados'!F437,"/","PSV5000","-",'Banco de Dados'!G437,"/","FLASH100","-",'Banco de Dados'!H437)</f>
        <v>PS388-/PSV5000-/FLASH100-</v>
      </c>
    </row>
    <row r="438" spans="1:5" x14ac:dyDescent="0.25">
      <c r="A438" s="1" t="s">
        <v>879</v>
      </c>
      <c r="B438" s="1">
        <f>'Banco de Dados'!J438</f>
        <v>0</v>
      </c>
      <c r="C438" s="1">
        <f>'Banco de Dados'!D438</f>
        <v>0</v>
      </c>
      <c r="D438" s="1">
        <f>'Banco de Dados'!L438</f>
        <v>0</v>
      </c>
      <c r="E438" s="59" t="str">
        <f>_xlfn.CONCAT("PS388","-",'Banco de Dados'!F438,"/","PSV5000","-",'Banco de Dados'!G438,"/","FLASH100","-",'Banco de Dados'!H438)</f>
        <v>PS388-/PSV5000-/FLASH100-</v>
      </c>
    </row>
    <row r="439" spans="1:5" x14ac:dyDescent="0.25">
      <c r="A439" s="1" t="s">
        <v>879</v>
      </c>
      <c r="B439" s="1">
        <f>'Banco de Dados'!J439</f>
        <v>0</v>
      </c>
      <c r="C439" s="1">
        <f>'Banco de Dados'!D439</f>
        <v>0</v>
      </c>
      <c r="D439" s="1">
        <f>'Banco de Dados'!L439</f>
        <v>0</v>
      </c>
      <c r="E439" s="59" t="str">
        <f>_xlfn.CONCAT("PS388","-",'Banco de Dados'!F439,"/","PSV5000","-",'Banco de Dados'!G439,"/","FLASH100","-",'Banco de Dados'!H439)</f>
        <v>PS388-/PSV5000-/FLASH100-</v>
      </c>
    </row>
    <row r="440" spans="1:5" x14ac:dyDescent="0.25">
      <c r="A440" s="1" t="s">
        <v>879</v>
      </c>
      <c r="B440" s="1">
        <f>'Banco de Dados'!J440</f>
        <v>0</v>
      </c>
      <c r="C440" s="1">
        <f>'Banco de Dados'!D440</f>
        <v>0</v>
      </c>
      <c r="D440" s="1">
        <f>'Banco de Dados'!L440</f>
        <v>0</v>
      </c>
      <c r="E440" s="59" t="str">
        <f>_xlfn.CONCAT("PS388","-",'Banco de Dados'!F440,"/","PSV5000","-",'Banco de Dados'!G440,"/","FLASH100","-",'Banco de Dados'!H440)</f>
        <v>PS388-/PSV5000-/FLASH100-</v>
      </c>
    </row>
    <row r="441" spans="1:5" x14ac:dyDescent="0.25">
      <c r="A441" s="1" t="s">
        <v>879</v>
      </c>
      <c r="B441" s="1">
        <f>'Banco de Dados'!J441</f>
        <v>0</v>
      </c>
      <c r="C441" s="1">
        <f>'Banco de Dados'!D441</f>
        <v>0</v>
      </c>
      <c r="D441" s="1">
        <f>'Banco de Dados'!L441</f>
        <v>0</v>
      </c>
      <c r="E441" s="59" t="str">
        <f>_xlfn.CONCAT("PS388","-",'Banco de Dados'!F441,"/","PSV5000","-",'Banco de Dados'!G441,"/","FLASH100","-",'Banco de Dados'!H441)</f>
        <v>PS388-/PSV5000-/FLASH100-</v>
      </c>
    </row>
    <row r="442" spans="1:5" x14ac:dyDescent="0.25">
      <c r="A442" s="1" t="s">
        <v>879</v>
      </c>
      <c r="B442" s="1">
        <f>'Banco de Dados'!J442</f>
        <v>0</v>
      </c>
      <c r="C442" s="1">
        <f>'Banco de Dados'!D442</f>
        <v>0</v>
      </c>
      <c r="D442" s="1">
        <f>'Banco de Dados'!L442</f>
        <v>0</v>
      </c>
      <c r="E442" s="59" t="str">
        <f>_xlfn.CONCAT("PS388","-",'Banco de Dados'!F442,"/","PSV5000","-",'Banco de Dados'!G442,"/","FLASH100","-",'Banco de Dados'!H442)</f>
        <v>PS388-/PSV5000-/FLASH100-</v>
      </c>
    </row>
    <row r="443" spans="1:5" x14ac:dyDescent="0.25">
      <c r="A443" s="1" t="s">
        <v>879</v>
      </c>
      <c r="B443" s="1">
        <f>'Banco de Dados'!J443</f>
        <v>0</v>
      </c>
      <c r="C443" s="1">
        <f>'Banco de Dados'!D443</f>
        <v>0</v>
      </c>
      <c r="D443" s="1">
        <f>'Banco de Dados'!L443</f>
        <v>0</v>
      </c>
      <c r="E443" s="59" t="str">
        <f>_xlfn.CONCAT("PS388","-",'Banco de Dados'!F443,"/","PSV5000","-",'Banco de Dados'!G443,"/","FLASH100","-",'Banco de Dados'!H443)</f>
        <v>PS388-/PSV5000-/FLASH100-</v>
      </c>
    </row>
    <row r="444" spans="1:5" x14ac:dyDescent="0.25">
      <c r="A444" s="1" t="s">
        <v>879</v>
      </c>
      <c r="B444" s="1">
        <f>'Banco de Dados'!J444</f>
        <v>0</v>
      </c>
      <c r="C444" s="1">
        <f>'Banco de Dados'!D444</f>
        <v>0</v>
      </c>
      <c r="D444" s="1">
        <f>'Banco de Dados'!L444</f>
        <v>0</v>
      </c>
      <c r="E444" s="59" t="str">
        <f>_xlfn.CONCAT("PS388","-",'Banco de Dados'!F444,"/","PSV5000","-",'Banco de Dados'!G444,"/","FLASH100","-",'Banco de Dados'!H444)</f>
        <v>PS388-/PSV5000-/FLASH100-</v>
      </c>
    </row>
    <row r="445" spans="1:5" x14ac:dyDescent="0.25">
      <c r="A445" s="1" t="s">
        <v>879</v>
      </c>
      <c r="B445" s="1">
        <f>'Banco de Dados'!J445</f>
        <v>0</v>
      </c>
      <c r="C445" s="1">
        <f>'Banco de Dados'!D445</f>
        <v>0</v>
      </c>
      <c r="D445" s="1">
        <f>'Banco de Dados'!L445</f>
        <v>0</v>
      </c>
      <c r="E445" s="59" t="str">
        <f>_xlfn.CONCAT("PS388","-",'Banco de Dados'!F445,"/","PSV5000","-",'Banco de Dados'!G445,"/","FLASH100","-",'Banco de Dados'!H445)</f>
        <v>PS388-/PSV5000-/FLASH100-</v>
      </c>
    </row>
    <row r="446" spans="1:5" x14ac:dyDescent="0.25">
      <c r="A446" s="1" t="s">
        <v>879</v>
      </c>
      <c r="B446" s="1">
        <f>'Banco de Dados'!J446</f>
        <v>0</v>
      </c>
      <c r="C446" s="1">
        <f>'Banco de Dados'!D446</f>
        <v>0</v>
      </c>
      <c r="D446" s="1">
        <f>'Banco de Dados'!L446</f>
        <v>0</v>
      </c>
      <c r="E446" s="59" t="str">
        <f>_xlfn.CONCAT("PS388","-",'Banco de Dados'!F446,"/","PSV5000","-",'Banco de Dados'!G446,"/","FLASH100","-",'Banco de Dados'!H446)</f>
        <v>PS388-/PSV5000-/FLASH100-</v>
      </c>
    </row>
    <row r="447" spans="1:5" x14ac:dyDescent="0.25">
      <c r="A447" s="1" t="s">
        <v>879</v>
      </c>
      <c r="B447" s="1">
        <f>'Banco de Dados'!J447</f>
        <v>0</v>
      </c>
      <c r="C447" s="1">
        <f>'Banco de Dados'!D447</f>
        <v>0</v>
      </c>
      <c r="D447" s="1">
        <f>'Banco de Dados'!L447</f>
        <v>0</v>
      </c>
      <c r="E447" s="59" t="str">
        <f>_xlfn.CONCAT("PS388","-",'Banco de Dados'!F447,"/","PSV5000","-",'Banco de Dados'!G447,"/","FLASH100","-",'Banco de Dados'!H447)</f>
        <v>PS388-/PSV5000-/FLASH100-</v>
      </c>
    </row>
    <row r="448" spans="1:5" x14ac:dyDescent="0.25">
      <c r="A448" s="1" t="s">
        <v>879</v>
      </c>
      <c r="B448" s="1">
        <f>'Banco de Dados'!J448</f>
        <v>0</v>
      </c>
      <c r="C448" s="1">
        <f>'Banco de Dados'!D448</f>
        <v>0</v>
      </c>
      <c r="D448" s="1">
        <f>'Banco de Dados'!L448</f>
        <v>0</v>
      </c>
      <c r="E448" s="59" t="str">
        <f>_xlfn.CONCAT("PS388","-",'Banco de Dados'!F448,"/","PSV5000","-",'Banco de Dados'!G448,"/","FLASH100","-",'Banco de Dados'!H448)</f>
        <v>PS388-/PSV5000-/FLASH100-</v>
      </c>
    </row>
    <row r="449" spans="1:5" x14ac:dyDescent="0.25">
      <c r="A449" s="1" t="s">
        <v>879</v>
      </c>
      <c r="B449" s="1">
        <f>'Banco de Dados'!J449</f>
        <v>0</v>
      </c>
      <c r="C449" s="1">
        <f>'Banco de Dados'!D449</f>
        <v>0</v>
      </c>
      <c r="D449" s="1">
        <f>'Banco de Dados'!L449</f>
        <v>0</v>
      </c>
      <c r="E449" s="59" t="str">
        <f>_xlfn.CONCAT("PS388","-",'Banco de Dados'!F449,"/","PSV5000","-",'Banco de Dados'!G449,"/","FLASH100","-",'Banco de Dados'!H449)</f>
        <v>PS388-/PSV5000-/FLASH100-</v>
      </c>
    </row>
    <row r="450" spans="1:5" x14ac:dyDescent="0.25">
      <c r="A450" s="1" t="s">
        <v>879</v>
      </c>
      <c r="B450" s="1">
        <f>'Banco de Dados'!J450</f>
        <v>0</v>
      </c>
      <c r="C450" s="1">
        <f>'Banco de Dados'!D450</f>
        <v>0</v>
      </c>
      <c r="D450" s="1">
        <f>'Banco de Dados'!L450</f>
        <v>0</v>
      </c>
      <c r="E450" s="59" t="str">
        <f>_xlfn.CONCAT("PS388","-",'Banco de Dados'!F450,"/","PSV5000","-",'Banco de Dados'!G450,"/","FLASH100","-",'Banco de Dados'!H450)</f>
        <v>PS388-/PSV5000-/FLASH100-</v>
      </c>
    </row>
    <row r="451" spans="1:5" x14ac:dyDescent="0.25">
      <c r="A451" s="1" t="s">
        <v>879</v>
      </c>
      <c r="B451" s="1">
        <f>'Banco de Dados'!J451</f>
        <v>0</v>
      </c>
      <c r="C451" s="1">
        <f>'Banco de Dados'!D451</f>
        <v>0</v>
      </c>
      <c r="D451" s="1">
        <f>'Banco de Dados'!L451</f>
        <v>0</v>
      </c>
      <c r="E451" s="59" t="str">
        <f>_xlfn.CONCAT("PS388","-",'Banco de Dados'!F451,"/","PSV5000","-",'Banco de Dados'!G451,"/","FLASH100","-",'Banco de Dados'!H451)</f>
        <v>PS388-/PSV5000-/FLASH100-</v>
      </c>
    </row>
    <row r="452" spans="1:5" x14ac:dyDescent="0.25">
      <c r="A452" s="1" t="s">
        <v>879</v>
      </c>
      <c r="B452" s="1">
        <f>'Banco de Dados'!J452</f>
        <v>0</v>
      </c>
      <c r="C452" s="1">
        <f>'Banco de Dados'!D452</f>
        <v>0</v>
      </c>
      <c r="D452" s="1">
        <f>'Banco de Dados'!L452</f>
        <v>0</v>
      </c>
      <c r="E452" s="59" t="str">
        <f>_xlfn.CONCAT("PS388","-",'Banco de Dados'!F452,"/","PSV5000","-",'Banco de Dados'!G452,"/","FLASH100","-",'Banco de Dados'!H452)</f>
        <v>PS388-/PSV5000-/FLASH100-</v>
      </c>
    </row>
    <row r="453" spans="1:5" x14ac:dyDescent="0.25">
      <c r="A453" s="1" t="s">
        <v>879</v>
      </c>
      <c r="B453" s="1">
        <f>'Banco de Dados'!J453</f>
        <v>0</v>
      </c>
      <c r="C453" s="1">
        <f>'Banco de Dados'!D453</f>
        <v>0</v>
      </c>
      <c r="D453" s="1">
        <f>'Banco de Dados'!L453</f>
        <v>0</v>
      </c>
      <c r="E453" s="59" t="str">
        <f>_xlfn.CONCAT("PS388","-",'Banco de Dados'!F453,"/","PSV5000","-",'Banco de Dados'!G453,"/","FLASH100","-",'Banco de Dados'!H453)</f>
        <v>PS388-/PSV5000-/FLASH100-</v>
      </c>
    </row>
    <row r="454" spans="1:5" x14ac:dyDescent="0.25">
      <c r="A454" s="1" t="s">
        <v>879</v>
      </c>
      <c r="B454" s="1">
        <f>'Banco de Dados'!J454</f>
        <v>0</v>
      </c>
      <c r="C454" s="1">
        <f>'Banco de Dados'!D454</f>
        <v>0</v>
      </c>
      <c r="D454" s="1">
        <f>'Banco de Dados'!L454</f>
        <v>0</v>
      </c>
      <c r="E454" s="59" t="str">
        <f>_xlfn.CONCAT("PS388","-",'Banco de Dados'!F454,"/","PSV5000","-",'Banco de Dados'!G454,"/","FLASH100","-",'Banco de Dados'!H454)</f>
        <v>PS388-/PSV5000-/FLASH100-</v>
      </c>
    </row>
    <row r="455" spans="1:5" x14ac:dyDescent="0.25">
      <c r="A455" s="1" t="s">
        <v>879</v>
      </c>
      <c r="B455" s="1">
        <f>'Banco de Dados'!J455</f>
        <v>0</v>
      </c>
      <c r="C455" s="1">
        <f>'Banco de Dados'!D455</f>
        <v>0</v>
      </c>
      <c r="D455" s="1">
        <f>'Banco de Dados'!L455</f>
        <v>0</v>
      </c>
      <c r="E455" s="59" t="str">
        <f>_xlfn.CONCAT("PS388","-",'Banco de Dados'!F455,"/","PSV5000","-",'Banco de Dados'!G455,"/","FLASH100","-",'Banco de Dados'!H455)</f>
        <v>PS388-/PSV5000-/FLASH100-</v>
      </c>
    </row>
    <row r="456" spans="1:5" x14ac:dyDescent="0.25">
      <c r="A456" s="1" t="s">
        <v>879</v>
      </c>
      <c r="B456" s="1">
        <f>'Banco de Dados'!J456</f>
        <v>0</v>
      </c>
      <c r="C456" s="1">
        <f>'Banco de Dados'!D456</f>
        <v>0</v>
      </c>
      <c r="D456" s="1">
        <f>'Banco de Dados'!L456</f>
        <v>0</v>
      </c>
      <c r="E456" s="59" t="str">
        <f>_xlfn.CONCAT("PS388","-",'Banco de Dados'!F456,"/","PSV5000","-",'Banco de Dados'!G456,"/","FLASH100","-",'Banco de Dados'!H456)</f>
        <v>PS388-/PSV5000-/FLASH100-</v>
      </c>
    </row>
    <row r="457" spans="1:5" x14ac:dyDescent="0.25">
      <c r="A457" s="1" t="s">
        <v>879</v>
      </c>
      <c r="B457" s="1">
        <f>'Banco de Dados'!J457</f>
        <v>0</v>
      </c>
      <c r="C457" s="1">
        <f>'Banco de Dados'!D457</f>
        <v>0</v>
      </c>
      <c r="D457" s="1">
        <f>'Banco de Dados'!L457</f>
        <v>0</v>
      </c>
      <c r="E457" s="59" t="str">
        <f>_xlfn.CONCAT("PS388","-",'Banco de Dados'!F457,"/","PSV5000","-",'Banco de Dados'!G457,"/","FLASH100","-",'Banco de Dados'!H457)</f>
        <v>PS388-/PSV5000-/FLASH100-</v>
      </c>
    </row>
    <row r="458" spans="1:5" x14ac:dyDescent="0.25">
      <c r="A458" s="1" t="s">
        <v>879</v>
      </c>
      <c r="B458" s="1">
        <f>'Banco de Dados'!J458</f>
        <v>0</v>
      </c>
      <c r="C458" s="1">
        <f>'Banco de Dados'!D458</f>
        <v>0</v>
      </c>
      <c r="D458" s="1">
        <f>'Banco de Dados'!L458</f>
        <v>0</v>
      </c>
      <c r="E458" s="59" t="str">
        <f>_xlfn.CONCAT("PS388","-",'Banco de Dados'!F458,"/","PSV5000","-",'Banco de Dados'!G458,"/","FLASH100","-",'Banco de Dados'!H458)</f>
        <v>PS388-/PSV5000-/FLASH100-</v>
      </c>
    </row>
    <row r="459" spans="1:5" x14ac:dyDescent="0.25">
      <c r="A459" s="1" t="s">
        <v>879</v>
      </c>
      <c r="B459" s="1">
        <f>'Banco de Dados'!J459</f>
        <v>0</v>
      </c>
      <c r="C459" s="1">
        <f>'Banco de Dados'!D459</f>
        <v>0</v>
      </c>
      <c r="D459" s="1">
        <f>'Banco de Dados'!L459</f>
        <v>0</v>
      </c>
      <c r="E459" s="59" t="str">
        <f>_xlfn.CONCAT("PS388","-",'Banco de Dados'!F459,"/","PSV5000","-",'Banco de Dados'!G459,"/","FLASH100","-",'Banco de Dados'!H459)</f>
        <v>PS388-/PSV5000-/FLASH100-</v>
      </c>
    </row>
    <row r="460" spans="1:5" x14ac:dyDescent="0.25">
      <c r="A460" s="1" t="s">
        <v>879</v>
      </c>
      <c r="B460" s="1">
        <f>'Banco de Dados'!J460</f>
        <v>0</v>
      </c>
      <c r="C460" s="1">
        <f>'Banco de Dados'!D460</f>
        <v>0</v>
      </c>
      <c r="D460" s="1">
        <f>'Banco de Dados'!L460</f>
        <v>0</v>
      </c>
      <c r="E460" s="59" t="str">
        <f>_xlfn.CONCAT("PS388","-",'Banco de Dados'!F460,"/","PSV5000","-",'Banco de Dados'!G460,"/","FLASH100","-",'Banco de Dados'!H460)</f>
        <v>PS388-/PSV5000-/FLASH100-</v>
      </c>
    </row>
    <row r="461" spans="1:5" x14ac:dyDescent="0.25">
      <c r="A461" s="1" t="s">
        <v>879</v>
      </c>
      <c r="B461" s="1">
        <f>'Banco de Dados'!J461</f>
        <v>0</v>
      </c>
      <c r="C461" s="1">
        <f>'Banco de Dados'!D461</f>
        <v>0</v>
      </c>
      <c r="D461" s="1">
        <f>'Banco de Dados'!L461</f>
        <v>0</v>
      </c>
      <c r="E461" s="59" t="str">
        <f>_xlfn.CONCAT("PS388","-",'Banco de Dados'!F461,"/","PSV5000","-",'Banco de Dados'!G461,"/","FLASH100","-",'Banco de Dados'!H461)</f>
        <v>PS388-/PSV5000-/FLASH100-</v>
      </c>
    </row>
    <row r="462" spans="1:5" x14ac:dyDescent="0.25">
      <c r="A462" s="1" t="s">
        <v>879</v>
      </c>
      <c r="B462" s="1">
        <f>'Banco de Dados'!J462</f>
        <v>0</v>
      </c>
      <c r="C462" s="1">
        <f>'Banco de Dados'!D462</f>
        <v>0</v>
      </c>
      <c r="D462" s="1">
        <f>'Banco de Dados'!L462</f>
        <v>0</v>
      </c>
      <c r="E462" s="59" t="str">
        <f>_xlfn.CONCAT("PS388","-",'Banco de Dados'!F462,"/","PSV5000","-",'Banco de Dados'!G462,"/","FLASH100","-",'Banco de Dados'!H462)</f>
        <v>PS388-/PSV5000-/FLASH100-</v>
      </c>
    </row>
    <row r="463" spans="1:5" x14ac:dyDescent="0.25">
      <c r="A463" s="1" t="s">
        <v>879</v>
      </c>
      <c r="B463" s="1">
        <f>'Banco de Dados'!J463</f>
        <v>0</v>
      </c>
      <c r="C463" s="1">
        <f>'Banco de Dados'!D463</f>
        <v>0</v>
      </c>
      <c r="D463" s="1">
        <f>'Banco de Dados'!L463</f>
        <v>0</v>
      </c>
      <c r="E463" s="59" t="str">
        <f>_xlfn.CONCAT("PS388","-",'Banco de Dados'!F463,"/","PSV5000","-",'Banco de Dados'!G463,"/","FLASH100","-",'Banco de Dados'!H463)</f>
        <v>PS388-/PSV5000-/FLASH100-</v>
      </c>
    </row>
  </sheetData>
  <sheetProtection insertColumns="0" insertRows="0" deleteColumns="0" deleteRows="0" selectLockedCells="1" selectUnlockedCells="1"/>
  <phoneticPr fontId="17" type="noConversion"/>
  <pageMargins left="0.7" right="0.7" top="0.75" bottom="0.75" header="0.3" footer="0.3"/>
  <pageSetup scale="17" orientation="portrait" horizontalDpi="429496729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>
    <pageSetUpPr fitToPage="1"/>
  </sheetPr>
  <dimension ref="A1:P301"/>
  <sheetViews>
    <sheetView showGridLines="0" view="pageBreakPreview" zoomScaleSheetLayoutView="100" workbookViewId="0">
      <pane xSplit="3" ySplit="1" topLeftCell="J2" activePane="bottomRight" state="frozen"/>
      <selection pane="topRight" activeCell="C1" sqref="C1"/>
      <selection pane="bottomLeft" activeCell="A2" sqref="A2"/>
      <selection pane="bottomRight" activeCell="O1" sqref="O1"/>
    </sheetView>
  </sheetViews>
  <sheetFormatPr defaultRowHeight="15" x14ac:dyDescent="0.25"/>
  <cols>
    <col min="1" max="1" width="7.5703125" style="6" bestFit="1" customWidth="1"/>
    <col min="2" max="2" width="16.140625" style="6" bestFit="1" customWidth="1"/>
    <col min="3" max="3" width="29.7109375" style="6" bestFit="1" customWidth="1"/>
    <col min="4" max="4" width="19.85546875" style="7" bestFit="1" customWidth="1"/>
    <col min="5" max="5" width="12.140625" style="6" bestFit="1" customWidth="1"/>
    <col min="6" max="6" width="21.5703125" style="6" bestFit="1" customWidth="1"/>
    <col min="7" max="8" width="24" style="6" bestFit="1" customWidth="1"/>
    <col min="9" max="9" width="26.85546875" style="6" bestFit="1" customWidth="1"/>
    <col min="10" max="10" width="20.28515625" style="6" bestFit="1" customWidth="1"/>
    <col min="11" max="11" width="16.85546875" style="6" bestFit="1" customWidth="1"/>
    <col min="12" max="12" width="14.85546875" style="6" bestFit="1" customWidth="1"/>
    <col min="13" max="13" width="20.140625" style="6" bestFit="1" customWidth="1"/>
    <col min="14" max="14" width="18.85546875" style="6" bestFit="1" customWidth="1"/>
    <col min="15" max="15" width="20" style="6" bestFit="1" customWidth="1"/>
    <col min="16" max="16" width="1.5703125" bestFit="1" customWidth="1"/>
  </cols>
  <sheetData>
    <row r="1" spans="1:16" ht="33" customHeight="1" x14ac:dyDescent="0.25">
      <c r="A1" s="38" t="s">
        <v>484</v>
      </c>
      <c r="B1" s="38" t="s">
        <v>465</v>
      </c>
      <c r="C1" s="39" t="s">
        <v>466</v>
      </c>
      <c r="D1" s="39" t="s">
        <v>467</v>
      </c>
      <c r="E1" s="39" t="s">
        <v>468</v>
      </c>
      <c r="F1" s="39" t="s">
        <v>469</v>
      </c>
      <c r="G1" s="39" t="s">
        <v>470</v>
      </c>
      <c r="H1" s="39" t="s">
        <v>471</v>
      </c>
      <c r="I1" s="39" t="s">
        <v>472</v>
      </c>
      <c r="J1" s="39" t="s">
        <v>473</v>
      </c>
      <c r="K1" s="39" t="s">
        <v>474</v>
      </c>
      <c r="L1" s="39" t="s">
        <v>475</v>
      </c>
      <c r="M1" s="40" t="s">
        <v>476</v>
      </c>
      <c r="N1" s="40" t="s">
        <v>477</v>
      </c>
      <c r="O1" s="40" t="s">
        <v>478</v>
      </c>
    </row>
    <row r="2" spans="1:16" ht="15.75" thickBot="1" x14ac:dyDescent="0.3">
      <c r="A2" s="41" t="s">
        <v>485</v>
      </c>
      <c r="B2" s="41" t="s">
        <v>17</v>
      </c>
      <c r="C2" s="41" t="s">
        <v>18</v>
      </c>
      <c r="D2" s="41" t="s">
        <v>19</v>
      </c>
      <c r="E2" s="41" t="s">
        <v>20</v>
      </c>
      <c r="F2" s="42" t="s">
        <v>21</v>
      </c>
      <c r="G2" s="42"/>
      <c r="H2" s="42" t="s">
        <v>22</v>
      </c>
      <c r="I2" s="41" t="s">
        <v>23</v>
      </c>
      <c r="J2" s="43" t="s">
        <v>24</v>
      </c>
      <c r="K2" s="41" t="s">
        <v>25</v>
      </c>
      <c r="L2" s="44" t="s">
        <v>26</v>
      </c>
      <c r="M2" s="45">
        <v>43836</v>
      </c>
      <c r="N2" s="46" t="s">
        <v>27</v>
      </c>
      <c r="O2" s="46" t="s">
        <v>28</v>
      </c>
      <c r="P2" s="1" t="s">
        <v>0</v>
      </c>
    </row>
    <row r="3" spans="1:16" ht="15.75" thickBot="1" x14ac:dyDescent="0.3">
      <c r="A3" s="41" t="s">
        <v>487</v>
      </c>
      <c r="B3" s="41" t="s">
        <v>17</v>
      </c>
      <c r="C3" s="41" t="s">
        <v>18</v>
      </c>
      <c r="D3" s="41" t="s">
        <v>19</v>
      </c>
      <c r="E3" s="41" t="s">
        <v>29</v>
      </c>
      <c r="F3" s="42" t="s">
        <v>21</v>
      </c>
      <c r="G3" s="42"/>
      <c r="H3" s="42" t="s">
        <v>30</v>
      </c>
      <c r="I3" s="41" t="s">
        <v>31</v>
      </c>
      <c r="J3" s="43" t="s">
        <v>24</v>
      </c>
      <c r="K3" s="43" t="s">
        <v>32</v>
      </c>
      <c r="L3" s="44" t="s">
        <v>26</v>
      </c>
      <c r="M3" s="45">
        <v>43836</v>
      </c>
      <c r="N3" s="46" t="s">
        <v>27</v>
      </c>
      <c r="O3" s="46" t="s">
        <v>28</v>
      </c>
      <c r="P3" s="1"/>
    </row>
    <row r="4" spans="1:16" ht="15.75" thickBot="1" x14ac:dyDescent="0.3">
      <c r="A4" s="41" t="s">
        <v>488</v>
      </c>
      <c r="B4" s="41" t="s">
        <v>17</v>
      </c>
      <c r="C4" s="41" t="s">
        <v>18</v>
      </c>
      <c r="D4" s="41" t="s">
        <v>19</v>
      </c>
      <c r="E4" s="41" t="s">
        <v>33</v>
      </c>
      <c r="F4" s="42" t="s">
        <v>21</v>
      </c>
      <c r="G4" s="42"/>
      <c r="H4" s="42" t="s">
        <v>30</v>
      </c>
      <c r="I4" s="41" t="s">
        <v>34</v>
      </c>
      <c r="J4" s="43" t="s">
        <v>24</v>
      </c>
      <c r="K4" s="43" t="s">
        <v>35</v>
      </c>
      <c r="L4" s="44" t="s">
        <v>26</v>
      </c>
      <c r="M4" s="45">
        <v>43836</v>
      </c>
      <c r="N4" s="46" t="s">
        <v>27</v>
      </c>
      <c r="O4" s="46" t="s">
        <v>28</v>
      </c>
      <c r="P4" s="1"/>
    </row>
    <row r="5" spans="1:16" ht="24.75" thickBot="1" x14ac:dyDescent="0.3">
      <c r="A5" s="41" t="s">
        <v>489</v>
      </c>
      <c r="B5" s="41" t="s">
        <v>17</v>
      </c>
      <c r="C5" s="41" t="s">
        <v>18</v>
      </c>
      <c r="D5" s="41" t="s">
        <v>19</v>
      </c>
      <c r="E5" s="41" t="s">
        <v>33</v>
      </c>
      <c r="F5" s="42" t="s">
        <v>36</v>
      </c>
      <c r="G5" s="42"/>
      <c r="H5" s="42" t="s">
        <v>36</v>
      </c>
      <c r="I5" s="41" t="s">
        <v>37</v>
      </c>
      <c r="J5" s="43" t="s">
        <v>38</v>
      </c>
      <c r="K5" s="43" t="s">
        <v>39</v>
      </c>
      <c r="L5" s="44" t="s">
        <v>40</v>
      </c>
      <c r="M5" s="45">
        <v>43409</v>
      </c>
      <c r="N5" s="46" t="s">
        <v>27</v>
      </c>
      <c r="O5" s="46" t="s">
        <v>28</v>
      </c>
      <c r="P5" s="1"/>
    </row>
    <row r="6" spans="1:16" ht="15.75" thickBot="1" x14ac:dyDescent="0.3">
      <c r="A6" s="41" t="s">
        <v>490</v>
      </c>
      <c r="B6" s="41" t="s">
        <v>17</v>
      </c>
      <c r="C6" s="41" t="s">
        <v>18</v>
      </c>
      <c r="D6" s="41" t="s">
        <v>19</v>
      </c>
      <c r="E6" s="41" t="s">
        <v>20</v>
      </c>
      <c r="F6" s="42" t="s">
        <v>36</v>
      </c>
      <c r="G6" s="42"/>
      <c r="H6" s="42" t="s">
        <v>36</v>
      </c>
      <c r="I6" s="41" t="s">
        <v>41</v>
      </c>
      <c r="J6" s="43" t="s">
        <v>38</v>
      </c>
      <c r="K6" s="43" t="s">
        <v>42</v>
      </c>
      <c r="L6" s="44" t="s">
        <v>40</v>
      </c>
      <c r="M6" s="45">
        <v>43409</v>
      </c>
      <c r="N6" s="46" t="s">
        <v>27</v>
      </c>
      <c r="O6" s="46" t="s">
        <v>28</v>
      </c>
      <c r="P6" s="1"/>
    </row>
    <row r="7" spans="1:16" ht="15.75" thickBot="1" x14ac:dyDescent="0.3">
      <c r="A7" s="41" t="s">
        <v>491</v>
      </c>
      <c r="B7" s="41" t="s">
        <v>17</v>
      </c>
      <c r="C7" s="41" t="s">
        <v>18</v>
      </c>
      <c r="D7" s="41" t="s">
        <v>19</v>
      </c>
      <c r="E7" s="41" t="s">
        <v>33</v>
      </c>
      <c r="F7" s="42" t="s">
        <v>43</v>
      </c>
      <c r="G7" s="42"/>
      <c r="H7" s="42" t="s">
        <v>43</v>
      </c>
      <c r="I7" s="41" t="s">
        <v>44</v>
      </c>
      <c r="J7" s="43" t="s">
        <v>45</v>
      </c>
      <c r="K7" s="43" t="s">
        <v>46</v>
      </c>
      <c r="L7" s="44" t="s">
        <v>47</v>
      </c>
      <c r="M7" s="45">
        <v>43409</v>
      </c>
      <c r="N7" s="46" t="s">
        <v>27</v>
      </c>
      <c r="O7" s="46" t="s">
        <v>28</v>
      </c>
      <c r="P7" s="1"/>
    </row>
    <row r="8" spans="1:16" ht="15.75" thickBot="1" x14ac:dyDescent="0.3">
      <c r="A8" s="41" t="s">
        <v>492</v>
      </c>
      <c r="B8" s="41" t="s">
        <v>17</v>
      </c>
      <c r="C8" s="41" t="s">
        <v>18</v>
      </c>
      <c r="D8" s="41" t="s">
        <v>19</v>
      </c>
      <c r="E8" s="41" t="s">
        <v>20</v>
      </c>
      <c r="F8" s="42" t="s">
        <v>43</v>
      </c>
      <c r="G8" s="42"/>
      <c r="H8" s="42" t="s">
        <v>43</v>
      </c>
      <c r="I8" s="41" t="s">
        <v>48</v>
      </c>
      <c r="J8" s="43" t="s">
        <v>45</v>
      </c>
      <c r="K8" s="43" t="s">
        <v>49</v>
      </c>
      <c r="L8" s="44" t="s">
        <v>47</v>
      </c>
      <c r="M8" s="45">
        <v>43409</v>
      </c>
      <c r="N8" s="46" t="s">
        <v>27</v>
      </c>
      <c r="O8" s="46" t="s">
        <v>28</v>
      </c>
      <c r="P8" s="1"/>
    </row>
    <row r="9" spans="1:16" ht="15.75" thickBot="1" x14ac:dyDescent="0.3">
      <c r="A9" s="41" t="s">
        <v>486</v>
      </c>
      <c r="B9" s="41" t="s">
        <v>50</v>
      </c>
      <c r="C9" s="43" t="s">
        <v>51</v>
      </c>
      <c r="D9" s="41" t="s">
        <v>19</v>
      </c>
      <c r="E9" s="41" t="s">
        <v>20</v>
      </c>
      <c r="F9" s="42" t="s">
        <v>21</v>
      </c>
      <c r="G9" s="42"/>
      <c r="H9" s="42" t="s">
        <v>22</v>
      </c>
      <c r="I9" s="41" t="s">
        <v>23</v>
      </c>
      <c r="J9" s="43" t="s">
        <v>24</v>
      </c>
      <c r="K9" s="41" t="s">
        <v>25</v>
      </c>
      <c r="L9" s="44" t="s">
        <v>26</v>
      </c>
      <c r="M9" s="45">
        <v>43836</v>
      </c>
      <c r="N9" s="46" t="s">
        <v>27</v>
      </c>
      <c r="O9" s="46" t="s">
        <v>28</v>
      </c>
      <c r="P9" s="1"/>
    </row>
    <row r="10" spans="1:16" ht="15.75" thickBot="1" x14ac:dyDescent="0.3">
      <c r="A10" s="41" t="s">
        <v>493</v>
      </c>
      <c r="B10" s="41" t="s">
        <v>50</v>
      </c>
      <c r="C10" s="43" t="s">
        <v>51</v>
      </c>
      <c r="D10" s="41" t="s">
        <v>19</v>
      </c>
      <c r="E10" s="41" t="s">
        <v>29</v>
      </c>
      <c r="F10" s="42" t="s">
        <v>21</v>
      </c>
      <c r="G10" s="42"/>
      <c r="H10" s="42" t="s">
        <v>30</v>
      </c>
      <c r="I10" s="41" t="s">
        <v>31</v>
      </c>
      <c r="J10" s="43" t="s">
        <v>24</v>
      </c>
      <c r="K10" s="43" t="s">
        <v>32</v>
      </c>
      <c r="L10" s="44" t="s">
        <v>26</v>
      </c>
      <c r="M10" s="45">
        <v>43836</v>
      </c>
      <c r="N10" s="46" t="s">
        <v>27</v>
      </c>
      <c r="O10" s="46" t="s">
        <v>28</v>
      </c>
      <c r="P10" s="1"/>
    </row>
    <row r="11" spans="1:16" ht="15.75" thickBot="1" x14ac:dyDescent="0.3">
      <c r="A11" s="41" t="s">
        <v>494</v>
      </c>
      <c r="B11" s="41" t="s">
        <v>50</v>
      </c>
      <c r="C11" s="43" t="s">
        <v>51</v>
      </c>
      <c r="D11" s="41" t="s">
        <v>19</v>
      </c>
      <c r="E11" s="41" t="s">
        <v>33</v>
      </c>
      <c r="F11" s="42" t="s">
        <v>21</v>
      </c>
      <c r="G11" s="42"/>
      <c r="H11" s="42" t="s">
        <v>30</v>
      </c>
      <c r="I11" s="41" t="s">
        <v>34</v>
      </c>
      <c r="J11" s="43" t="s">
        <v>24</v>
      </c>
      <c r="K11" s="43" t="s">
        <v>35</v>
      </c>
      <c r="L11" s="44" t="s">
        <v>26</v>
      </c>
      <c r="M11" s="45">
        <v>43836</v>
      </c>
      <c r="N11" s="46" t="s">
        <v>27</v>
      </c>
      <c r="O11" s="46" t="s">
        <v>28</v>
      </c>
      <c r="P11" s="1"/>
    </row>
    <row r="12" spans="1:16" ht="24.75" thickBot="1" x14ac:dyDescent="0.3">
      <c r="A12" s="41" t="s">
        <v>495</v>
      </c>
      <c r="B12" s="41" t="s">
        <v>50</v>
      </c>
      <c r="C12" s="43" t="s">
        <v>51</v>
      </c>
      <c r="D12" s="41" t="s">
        <v>19</v>
      </c>
      <c r="E12" s="41" t="s">
        <v>33</v>
      </c>
      <c r="F12" s="42" t="s">
        <v>36</v>
      </c>
      <c r="G12" s="42"/>
      <c r="H12" s="42" t="s">
        <v>36</v>
      </c>
      <c r="I12" s="41" t="s">
        <v>37</v>
      </c>
      <c r="J12" s="43" t="s">
        <v>38</v>
      </c>
      <c r="K12" s="43" t="s">
        <v>39</v>
      </c>
      <c r="L12" s="44" t="s">
        <v>40</v>
      </c>
      <c r="M12" s="45">
        <v>43409</v>
      </c>
      <c r="N12" s="46" t="s">
        <v>27</v>
      </c>
      <c r="O12" s="46" t="s">
        <v>28</v>
      </c>
      <c r="P12" s="1"/>
    </row>
    <row r="13" spans="1:16" ht="15.75" thickBot="1" x14ac:dyDescent="0.3">
      <c r="A13" s="41" t="s">
        <v>496</v>
      </c>
      <c r="B13" s="41" t="s">
        <v>50</v>
      </c>
      <c r="C13" s="43" t="s">
        <v>51</v>
      </c>
      <c r="D13" s="41" t="s">
        <v>19</v>
      </c>
      <c r="E13" s="41" t="s">
        <v>20</v>
      </c>
      <c r="F13" s="42" t="s">
        <v>36</v>
      </c>
      <c r="G13" s="42"/>
      <c r="H13" s="42" t="s">
        <v>36</v>
      </c>
      <c r="I13" s="41" t="s">
        <v>41</v>
      </c>
      <c r="J13" s="43" t="s">
        <v>38</v>
      </c>
      <c r="K13" s="43" t="s">
        <v>42</v>
      </c>
      <c r="L13" s="44" t="s">
        <v>40</v>
      </c>
      <c r="M13" s="45">
        <v>43409</v>
      </c>
      <c r="N13" s="46" t="s">
        <v>27</v>
      </c>
      <c r="O13" s="46" t="s">
        <v>28</v>
      </c>
      <c r="P13" s="1"/>
    </row>
    <row r="14" spans="1:16" ht="15.75" thickBot="1" x14ac:dyDescent="0.3">
      <c r="A14" s="41" t="s">
        <v>497</v>
      </c>
      <c r="B14" s="41" t="s">
        <v>50</v>
      </c>
      <c r="C14" s="43" t="s">
        <v>51</v>
      </c>
      <c r="D14" s="41" t="s">
        <v>19</v>
      </c>
      <c r="E14" s="41" t="s">
        <v>33</v>
      </c>
      <c r="F14" s="42" t="s">
        <v>43</v>
      </c>
      <c r="G14" s="42"/>
      <c r="H14" s="42" t="s">
        <v>43</v>
      </c>
      <c r="I14" s="41" t="s">
        <v>44</v>
      </c>
      <c r="J14" s="43" t="s">
        <v>45</v>
      </c>
      <c r="K14" s="43" t="s">
        <v>46</v>
      </c>
      <c r="L14" s="44" t="s">
        <v>47</v>
      </c>
      <c r="M14" s="45">
        <v>43409</v>
      </c>
      <c r="N14" s="46" t="s">
        <v>27</v>
      </c>
      <c r="O14" s="46" t="s">
        <v>28</v>
      </c>
      <c r="P14" s="1"/>
    </row>
    <row r="15" spans="1:16" ht="15.75" thickBot="1" x14ac:dyDescent="0.3">
      <c r="A15" s="41" t="s">
        <v>498</v>
      </c>
      <c r="B15" s="41" t="s">
        <v>50</v>
      </c>
      <c r="C15" s="43" t="s">
        <v>51</v>
      </c>
      <c r="D15" s="41" t="s">
        <v>19</v>
      </c>
      <c r="E15" s="41" t="s">
        <v>20</v>
      </c>
      <c r="F15" s="42" t="s">
        <v>43</v>
      </c>
      <c r="G15" s="42"/>
      <c r="H15" s="42" t="s">
        <v>43</v>
      </c>
      <c r="I15" s="41" t="s">
        <v>48</v>
      </c>
      <c r="J15" s="43" t="s">
        <v>45</v>
      </c>
      <c r="K15" s="43" t="s">
        <v>49</v>
      </c>
      <c r="L15" s="44" t="s">
        <v>47</v>
      </c>
      <c r="M15" s="45">
        <v>43409</v>
      </c>
      <c r="N15" s="46" t="s">
        <v>27</v>
      </c>
      <c r="O15" s="46" t="s">
        <v>28</v>
      </c>
      <c r="P15" s="1"/>
    </row>
    <row r="16" spans="1:16" ht="15.75" thickBot="1" x14ac:dyDescent="0.3">
      <c r="A16" s="41" t="s">
        <v>499</v>
      </c>
      <c r="B16" s="41" t="s">
        <v>52</v>
      </c>
      <c r="C16" s="41" t="s">
        <v>53</v>
      </c>
      <c r="D16" s="41" t="s">
        <v>54</v>
      </c>
      <c r="E16" s="41" t="s">
        <v>20</v>
      </c>
      <c r="F16" s="42" t="s">
        <v>55</v>
      </c>
      <c r="G16" s="42"/>
      <c r="H16" s="42" t="s">
        <v>56</v>
      </c>
      <c r="I16" s="41" t="s">
        <v>23</v>
      </c>
      <c r="J16" s="43" t="s">
        <v>57</v>
      </c>
      <c r="K16" s="41" t="s">
        <v>25</v>
      </c>
      <c r="L16" s="44" t="s">
        <v>58</v>
      </c>
      <c r="M16" s="45">
        <v>43487</v>
      </c>
      <c r="N16" s="46" t="s">
        <v>27</v>
      </c>
      <c r="O16" s="46" t="s">
        <v>28</v>
      </c>
      <c r="P16" s="1"/>
    </row>
    <row r="17" spans="1:16" ht="15.75" thickBot="1" x14ac:dyDescent="0.3">
      <c r="A17" s="41" t="s">
        <v>500</v>
      </c>
      <c r="B17" s="41" t="s">
        <v>52</v>
      </c>
      <c r="C17" s="41" t="s">
        <v>53</v>
      </c>
      <c r="D17" s="41" t="s">
        <v>54</v>
      </c>
      <c r="E17" s="41" t="s">
        <v>29</v>
      </c>
      <c r="F17" s="42" t="s">
        <v>55</v>
      </c>
      <c r="G17" s="42"/>
      <c r="H17" s="42" t="s">
        <v>59</v>
      </c>
      <c r="I17" s="41" t="s">
        <v>31</v>
      </c>
      <c r="J17" s="43" t="s">
        <v>57</v>
      </c>
      <c r="K17" s="41" t="s">
        <v>32</v>
      </c>
      <c r="L17" s="44" t="s">
        <v>58</v>
      </c>
      <c r="M17" s="45">
        <v>43487</v>
      </c>
      <c r="N17" s="46" t="s">
        <v>27</v>
      </c>
      <c r="O17" s="46" t="s">
        <v>28</v>
      </c>
      <c r="P17" s="1"/>
    </row>
    <row r="18" spans="1:16" ht="15.75" thickBot="1" x14ac:dyDescent="0.3">
      <c r="A18" s="41" t="s">
        <v>501</v>
      </c>
      <c r="B18" s="41" t="s">
        <v>52</v>
      </c>
      <c r="C18" s="41" t="s">
        <v>53</v>
      </c>
      <c r="D18" s="41" t="s">
        <v>54</v>
      </c>
      <c r="E18" s="41" t="s">
        <v>33</v>
      </c>
      <c r="F18" s="42" t="s">
        <v>55</v>
      </c>
      <c r="G18" s="42"/>
      <c r="H18" s="42" t="s">
        <v>59</v>
      </c>
      <c r="I18" s="41" t="s">
        <v>34</v>
      </c>
      <c r="J18" s="43" t="s">
        <v>57</v>
      </c>
      <c r="K18" s="41" t="s">
        <v>35</v>
      </c>
      <c r="L18" s="44" t="s">
        <v>58</v>
      </c>
      <c r="M18" s="45">
        <v>43595</v>
      </c>
      <c r="N18" s="46" t="s">
        <v>27</v>
      </c>
      <c r="O18" s="46" t="s">
        <v>28</v>
      </c>
      <c r="P18" s="1"/>
    </row>
    <row r="19" spans="1:16" ht="15.75" thickBot="1" x14ac:dyDescent="0.3">
      <c r="A19" s="41" t="s">
        <v>502</v>
      </c>
      <c r="B19" s="41" t="s">
        <v>52</v>
      </c>
      <c r="C19" s="41" t="s">
        <v>53</v>
      </c>
      <c r="D19" s="41" t="s">
        <v>54</v>
      </c>
      <c r="E19" s="41" t="s">
        <v>33</v>
      </c>
      <c r="F19" s="42" t="s">
        <v>60</v>
      </c>
      <c r="G19" s="42"/>
      <c r="H19" s="42" t="s">
        <v>61</v>
      </c>
      <c r="I19" s="41" t="s">
        <v>37</v>
      </c>
      <c r="J19" s="43" t="s">
        <v>62</v>
      </c>
      <c r="K19" s="41" t="s">
        <v>63</v>
      </c>
      <c r="L19" s="44" t="s">
        <v>40</v>
      </c>
      <c r="M19" s="45">
        <v>43426</v>
      </c>
      <c r="N19" s="46" t="s">
        <v>27</v>
      </c>
      <c r="O19" s="46" t="s">
        <v>28</v>
      </c>
      <c r="P19" s="1"/>
    </row>
    <row r="20" spans="1:16" ht="15.75" thickBot="1" x14ac:dyDescent="0.3">
      <c r="A20" s="41" t="s">
        <v>503</v>
      </c>
      <c r="B20" s="41" t="s">
        <v>64</v>
      </c>
      <c r="C20" s="41" t="s">
        <v>65</v>
      </c>
      <c r="D20" s="41" t="s">
        <v>54</v>
      </c>
      <c r="E20" s="41" t="s">
        <v>20</v>
      </c>
      <c r="F20" s="42" t="s">
        <v>55</v>
      </c>
      <c r="G20" s="42"/>
      <c r="H20" s="42" t="s">
        <v>56</v>
      </c>
      <c r="I20" s="41" t="s">
        <v>23</v>
      </c>
      <c r="J20" s="43" t="s">
        <v>66</v>
      </c>
      <c r="K20" s="41" t="s">
        <v>25</v>
      </c>
      <c r="L20" s="44" t="s">
        <v>58</v>
      </c>
      <c r="M20" s="45">
        <v>43595</v>
      </c>
      <c r="N20" s="46" t="s">
        <v>27</v>
      </c>
      <c r="O20" s="46" t="s">
        <v>28</v>
      </c>
      <c r="P20" s="1"/>
    </row>
    <row r="21" spans="1:16" ht="15.75" thickBot="1" x14ac:dyDescent="0.3">
      <c r="A21" s="41" t="s">
        <v>504</v>
      </c>
      <c r="B21" s="41" t="s">
        <v>64</v>
      </c>
      <c r="C21" s="41" t="s">
        <v>65</v>
      </c>
      <c r="D21" s="41" t="s">
        <v>54</v>
      </c>
      <c r="E21" s="41" t="s">
        <v>29</v>
      </c>
      <c r="F21" s="42" t="s">
        <v>55</v>
      </c>
      <c r="G21" s="42"/>
      <c r="H21" s="42" t="s">
        <v>59</v>
      </c>
      <c r="I21" s="41" t="s">
        <v>31</v>
      </c>
      <c r="J21" s="43" t="s">
        <v>66</v>
      </c>
      <c r="K21" s="41" t="s">
        <v>32</v>
      </c>
      <c r="L21" s="44" t="s">
        <v>58</v>
      </c>
      <c r="M21" s="45">
        <v>43595</v>
      </c>
      <c r="N21" s="46" t="s">
        <v>27</v>
      </c>
      <c r="O21" s="46" t="s">
        <v>28</v>
      </c>
      <c r="P21" s="1"/>
    </row>
    <row r="22" spans="1:16" ht="15.75" thickBot="1" x14ac:dyDescent="0.3">
      <c r="A22" s="41" t="s">
        <v>505</v>
      </c>
      <c r="B22" s="41" t="s">
        <v>64</v>
      </c>
      <c r="C22" s="41" t="s">
        <v>65</v>
      </c>
      <c r="D22" s="41" t="s">
        <v>54</v>
      </c>
      <c r="E22" s="41" t="s">
        <v>33</v>
      </c>
      <c r="F22" s="42" t="s">
        <v>55</v>
      </c>
      <c r="G22" s="42"/>
      <c r="H22" s="42" t="s">
        <v>59</v>
      </c>
      <c r="I22" s="41" t="s">
        <v>34</v>
      </c>
      <c r="J22" s="43" t="s">
        <v>66</v>
      </c>
      <c r="K22" s="41" t="s">
        <v>35</v>
      </c>
      <c r="L22" s="44" t="s">
        <v>58</v>
      </c>
      <c r="M22" s="45">
        <v>43595</v>
      </c>
      <c r="N22" s="46" t="s">
        <v>27</v>
      </c>
      <c r="O22" s="46" t="s">
        <v>28</v>
      </c>
      <c r="P22" s="1"/>
    </row>
    <row r="23" spans="1:16" ht="15.75" thickBot="1" x14ac:dyDescent="0.3">
      <c r="A23" s="41" t="s">
        <v>506</v>
      </c>
      <c r="B23" s="41" t="s">
        <v>64</v>
      </c>
      <c r="C23" s="41" t="s">
        <v>65</v>
      </c>
      <c r="D23" s="41" t="s">
        <v>54</v>
      </c>
      <c r="E23" s="41" t="s">
        <v>33</v>
      </c>
      <c r="F23" s="42" t="s">
        <v>60</v>
      </c>
      <c r="G23" s="42"/>
      <c r="H23" s="42" t="s">
        <v>61</v>
      </c>
      <c r="I23" s="41" t="s">
        <v>37</v>
      </c>
      <c r="J23" s="43" t="s">
        <v>62</v>
      </c>
      <c r="K23" s="41" t="s">
        <v>63</v>
      </c>
      <c r="L23" s="44" t="s">
        <v>40</v>
      </c>
      <c r="M23" s="45">
        <v>43426</v>
      </c>
      <c r="N23" s="46" t="s">
        <v>27</v>
      </c>
      <c r="O23" s="46" t="s">
        <v>28</v>
      </c>
      <c r="P23" s="1"/>
    </row>
    <row r="24" spans="1:16" ht="15.75" thickBot="1" x14ac:dyDescent="0.3">
      <c r="A24" s="41" t="s">
        <v>507</v>
      </c>
      <c r="B24" s="41" t="s">
        <v>67</v>
      </c>
      <c r="C24" s="41" t="s">
        <v>68</v>
      </c>
      <c r="D24" s="41" t="s">
        <v>54</v>
      </c>
      <c r="E24" s="41" t="s">
        <v>20</v>
      </c>
      <c r="F24" s="42" t="s">
        <v>55</v>
      </c>
      <c r="G24" s="42"/>
      <c r="H24" s="42" t="s">
        <v>59</v>
      </c>
      <c r="I24" s="41" t="s">
        <v>23</v>
      </c>
      <c r="J24" s="43" t="s">
        <v>69</v>
      </c>
      <c r="K24" s="41" t="s">
        <v>25</v>
      </c>
      <c r="L24" s="44" t="s">
        <v>70</v>
      </c>
      <c r="M24" s="45">
        <v>43662</v>
      </c>
      <c r="N24" s="46" t="s">
        <v>27</v>
      </c>
      <c r="O24" s="46" t="s">
        <v>28</v>
      </c>
      <c r="P24" s="1"/>
    </row>
    <row r="25" spans="1:16" ht="15.75" thickBot="1" x14ac:dyDescent="0.3">
      <c r="A25" s="41" t="s">
        <v>508</v>
      </c>
      <c r="B25" s="41" t="s">
        <v>67</v>
      </c>
      <c r="C25" s="41" t="s">
        <v>68</v>
      </c>
      <c r="D25" s="41" t="s">
        <v>54</v>
      </c>
      <c r="E25" s="41" t="s">
        <v>29</v>
      </c>
      <c r="F25" s="42" t="s">
        <v>55</v>
      </c>
      <c r="G25" s="42"/>
      <c r="H25" s="42" t="s">
        <v>59</v>
      </c>
      <c r="I25" s="41" t="s">
        <v>31</v>
      </c>
      <c r="J25" s="43" t="s">
        <v>69</v>
      </c>
      <c r="K25" s="41" t="s">
        <v>32</v>
      </c>
      <c r="L25" s="44" t="s">
        <v>70</v>
      </c>
      <c r="M25" s="45">
        <v>43662</v>
      </c>
      <c r="N25" s="46" t="s">
        <v>27</v>
      </c>
      <c r="O25" s="46" t="s">
        <v>28</v>
      </c>
      <c r="P25" s="1"/>
    </row>
    <row r="26" spans="1:16" ht="15.75" thickBot="1" x14ac:dyDescent="0.3">
      <c r="A26" s="41" t="s">
        <v>509</v>
      </c>
      <c r="B26" s="41" t="s">
        <v>67</v>
      </c>
      <c r="C26" s="41" t="s">
        <v>68</v>
      </c>
      <c r="D26" s="41" t="s">
        <v>54</v>
      </c>
      <c r="E26" s="41" t="s">
        <v>33</v>
      </c>
      <c r="F26" s="42" t="s">
        <v>55</v>
      </c>
      <c r="G26" s="42"/>
      <c r="H26" s="42" t="s">
        <v>59</v>
      </c>
      <c r="I26" s="41" t="s">
        <v>34</v>
      </c>
      <c r="J26" s="43" t="s">
        <v>69</v>
      </c>
      <c r="K26" s="41" t="s">
        <v>35</v>
      </c>
      <c r="L26" s="44" t="s">
        <v>70</v>
      </c>
      <c r="M26" s="45">
        <v>43662</v>
      </c>
      <c r="N26" s="46" t="s">
        <v>27</v>
      </c>
      <c r="O26" s="46" t="s">
        <v>28</v>
      </c>
      <c r="P26" s="1"/>
    </row>
    <row r="27" spans="1:16" ht="15.75" thickBot="1" x14ac:dyDescent="0.3">
      <c r="A27" s="41" t="s">
        <v>510</v>
      </c>
      <c r="B27" s="41" t="s">
        <v>67</v>
      </c>
      <c r="C27" s="41" t="s">
        <v>68</v>
      </c>
      <c r="D27" s="41" t="s">
        <v>54</v>
      </c>
      <c r="E27" s="41" t="s">
        <v>33</v>
      </c>
      <c r="F27" s="42" t="s">
        <v>60</v>
      </c>
      <c r="G27" s="42"/>
      <c r="H27" s="42" t="s">
        <v>61</v>
      </c>
      <c r="I27" s="41" t="s">
        <v>37</v>
      </c>
      <c r="J27" s="43" t="s">
        <v>62</v>
      </c>
      <c r="K27" s="41" t="s">
        <v>63</v>
      </c>
      <c r="L27" s="44" t="s">
        <v>40</v>
      </c>
      <c r="M27" s="45">
        <v>43426</v>
      </c>
      <c r="N27" s="46" t="s">
        <v>27</v>
      </c>
      <c r="O27" s="46" t="s">
        <v>28</v>
      </c>
      <c r="P27" s="1"/>
    </row>
    <row r="28" spans="1:16" ht="15.75" thickBot="1" x14ac:dyDescent="0.3">
      <c r="A28" s="41" t="s">
        <v>511</v>
      </c>
      <c r="B28" s="41" t="s">
        <v>71</v>
      </c>
      <c r="C28" s="41" t="s">
        <v>72</v>
      </c>
      <c r="D28" s="41" t="s">
        <v>54</v>
      </c>
      <c r="E28" s="41" t="s">
        <v>20</v>
      </c>
      <c r="F28" s="42" t="s">
        <v>55</v>
      </c>
      <c r="G28" s="42"/>
      <c r="H28" s="42" t="s">
        <v>56</v>
      </c>
      <c r="I28" s="41" t="s">
        <v>23</v>
      </c>
      <c r="J28" s="43" t="s">
        <v>69</v>
      </c>
      <c r="K28" s="41" t="s">
        <v>25</v>
      </c>
      <c r="L28" s="44" t="s">
        <v>70</v>
      </c>
      <c r="M28" s="45">
        <v>43662</v>
      </c>
      <c r="N28" s="46" t="s">
        <v>27</v>
      </c>
      <c r="O28" s="46" t="s">
        <v>28</v>
      </c>
      <c r="P28" s="1"/>
    </row>
    <row r="29" spans="1:16" ht="15.75" thickBot="1" x14ac:dyDescent="0.3">
      <c r="A29" s="41" t="s">
        <v>512</v>
      </c>
      <c r="B29" s="41" t="s">
        <v>71</v>
      </c>
      <c r="C29" s="41" t="s">
        <v>73</v>
      </c>
      <c r="D29" s="41" t="s">
        <v>54</v>
      </c>
      <c r="E29" s="41" t="s">
        <v>29</v>
      </c>
      <c r="F29" s="42" t="s">
        <v>55</v>
      </c>
      <c r="G29" s="42"/>
      <c r="H29" s="42" t="s">
        <v>59</v>
      </c>
      <c r="I29" s="41" t="s">
        <v>31</v>
      </c>
      <c r="J29" s="43" t="s">
        <v>69</v>
      </c>
      <c r="K29" s="41" t="s">
        <v>32</v>
      </c>
      <c r="L29" s="44" t="s">
        <v>70</v>
      </c>
      <c r="M29" s="45">
        <v>43662</v>
      </c>
      <c r="N29" s="46" t="s">
        <v>27</v>
      </c>
      <c r="O29" s="46" t="s">
        <v>28</v>
      </c>
      <c r="P29" s="1"/>
    </row>
    <row r="30" spans="1:16" ht="15.75" thickBot="1" x14ac:dyDescent="0.3">
      <c r="A30" s="41" t="s">
        <v>513</v>
      </c>
      <c r="B30" s="41" t="s">
        <v>71</v>
      </c>
      <c r="C30" s="41" t="s">
        <v>73</v>
      </c>
      <c r="D30" s="41" t="s">
        <v>54</v>
      </c>
      <c r="E30" s="41" t="s">
        <v>33</v>
      </c>
      <c r="F30" s="42" t="s">
        <v>55</v>
      </c>
      <c r="G30" s="42"/>
      <c r="H30" s="42" t="s">
        <v>59</v>
      </c>
      <c r="I30" s="41" t="s">
        <v>34</v>
      </c>
      <c r="J30" s="43" t="s">
        <v>69</v>
      </c>
      <c r="K30" s="41" t="s">
        <v>35</v>
      </c>
      <c r="L30" s="44" t="s">
        <v>70</v>
      </c>
      <c r="M30" s="45">
        <v>43662</v>
      </c>
      <c r="N30" s="46" t="s">
        <v>27</v>
      </c>
      <c r="O30" s="46" t="s">
        <v>28</v>
      </c>
      <c r="P30" s="1"/>
    </row>
    <row r="31" spans="1:16" ht="15.75" thickBot="1" x14ac:dyDescent="0.3">
      <c r="A31" s="41" t="s">
        <v>514</v>
      </c>
      <c r="B31" s="41" t="s">
        <v>71</v>
      </c>
      <c r="C31" s="41" t="s">
        <v>73</v>
      </c>
      <c r="D31" s="41" t="s">
        <v>54</v>
      </c>
      <c r="E31" s="41" t="s">
        <v>33</v>
      </c>
      <c r="F31" s="42" t="s">
        <v>60</v>
      </c>
      <c r="G31" s="42"/>
      <c r="H31" s="42" t="s">
        <v>61</v>
      </c>
      <c r="I31" s="41" t="s">
        <v>37</v>
      </c>
      <c r="J31" s="43" t="s">
        <v>62</v>
      </c>
      <c r="K31" s="41" t="s">
        <v>63</v>
      </c>
      <c r="L31" s="44" t="s">
        <v>40</v>
      </c>
      <c r="M31" s="45">
        <v>43426</v>
      </c>
      <c r="N31" s="46" t="s">
        <v>27</v>
      </c>
      <c r="O31" s="46" t="s">
        <v>28</v>
      </c>
      <c r="P31" s="1"/>
    </row>
    <row r="32" spans="1:16" ht="15.75" thickBot="1" x14ac:dyDescent="0.3">
      <c r="A32" s="41" t="s">
        <v>515</v>
      </c>
      <c r="B32" s="41" t="s">
        <v>74</v>
      </c>
      <c r="C32" s="41" t="s">
        <v>75</v>
      </c>
      <c r="D32" s="41" t="s">
        <v>76</v>
      </c>
      <c r="E32" s="41" t="s">
        <v>33</v>
      </c>
      <c r="F32" s="42"/>
      <c r="G32" s="42" t="s">
        <v>77</v>
      </c>
      <c r="H32" s="42" t="s">
        <v>78</v>
      </c>
      <c r="I32" s="41" t="s">
        <v>34</v>
      </c>
      <c r="J32" s="43" t="s">
        <v>889</v>
      </c>
      <c r="K32" s="41" t="s">
        <v>79</v>
      </c>
      <c r="L32" s="44" t="s">
        <v>80</v>
      </c>
      <c r="M32" s="45">
        <v>43868</v>
      </c>
      <c r="N32" s="46" t="s">
        <v>27</v>
      </c>
      <c r="O32" s="46" t="s">
        <v>81</v>
      </c>
      <c r="P32" s="1"/>
    </row>
    <row r="33" spans="1:16" ht="15.75" thickBot="1" x14ac:dyDescent="0.3">
      <c r="A33" s="41" t="s">
        <v>516</v>
      </c>
      <c r="B33" s="41" t="s">
        <v>74</v>
      </c>
      <c r="C33" s="41" t="s">
        <v>75</v>
      </c>
      <c r="D33" s="41" t="s">
        <v>76</v>
      </c>
      <c r="E33" s="41" t="s">
        <v>20</v>
      </c>
      <c r="F33" s="42"/>
      <c r="G33" s="42" t="s">
        <v>77</v>
      </c>
      <c r="H33" s="42" t="s">
        <v>82</v>
      </c>
      <c r="I33" s="41" t="s">
        <v>83</v>
      </c>
      <c r="J33" s="43" t="s">
        <v>889</v>
      </c>
      <c r="K33" s="41" t="s">
        <v>84</v>
      </c>
      <c r="L33" s="44" t="s">
        <v>80</v>
      </c>
      <c r="M33" s="45">
        <v>43868</v>
      </c>
      <c r="N33" s="46" t="s">
        <v>27</v>
      </c>
      <c r="O33" s="46" t="s">
        <v>81</v>
      </c>
      <c r="P33" s="1"/>
    </row>
    <row r="34" spans="1:16" ht="15.75" thickBot="1" x14ac:dyDescent="0.3">
      <c r="A34" s="41" t="s">
        <v>517</v>
      </c>
      <c r="B34" s="41" t="s">
        <v>74</v>
      </c>
      <c r="C34" s="41" t="s">
        <v>75</v>
      </c>
      <c r="D34" s="41" t="s">
        <v>76</v>
      </c>
      <c r="E34" s="41" t="s">
        <v>29</v>
      </c>
      <c r="F34" s="42"/>
      <c r="G34" s="42" t="s">
        <v>77</v>
      </c>
      <c r="H34" s="42" t="s">
        <v>78</v>
      </c>
      <c r="I34" s="41" t="s">
        <v>31</v>
      </c>
      <c r="J34" s="43" t="s">
        <v>889</v>
      </c>
      <c r="K34" s="41" t="s">
        <v>85</v>
      </c>
      <c r="L34" s="44" t="s">
        <v>80</v>
      </c>
      <c r="M34" s="45">
        <v>43868</v>
      </c>
      <c r="N34" s="46" t="s">
        <v>27</v>
      </c>
      <c r="O34" s="46" t="s">
        <v>81</v>
      </c>
      <c r="P34" s="1"/>
    </row>
    <row r="35" spans="1:16" ht="15.75" thickBot="1" x14ac:dyDescent="0.3">
      <c r="A35" s="41" t="s">
        <v>518</v>
      </c>
      <c r="B35" s="41" t="s">
        <v>86</v>
      </c>
      <c r="C35" s="41" t="s">
        <v>87</v>
      </c>
      <c r="D35" s="41" t="s">
        <v>76</v>
      </c>
      <c r="E35" s="41" t="s">
        <v>33</v>
      </c>
      <c r="F35" s="42"/>
      <c r="G35" s="42" t="s">
        <v>77</v>
      </c>
      <c r="H35" s="42" t="s">
        <v>78</v>
      </c>
      <c r="I35" s="41" t="s">
        <v>34</v>
      </c>
      <c r="J35" s="43" t="s">
        <v>889</v>
      </c>
      <c r="K35" s="41" t="s">
        <v>79</v>
      </c>
      <c r="L35" s="44" t="s">
        <v>80</v>
      </c>
      <c r="M35" s="45">
        <v>43868</v>
      </c>
      <c r="N35" s="46" t="s">
        <v>27</v>
      </c>
      <c r="O35" s="46" t="s">
        <v>81</v>
      </c>
      <c r="P35" s="1"/>
    </row>
    <row r="36" spans="1:16" ht="15.75" thickBot="1" x14ac:dyDescent="0.3">
      <c r="A36" s="41" t="s">
        <v>519</v>
      </c>
      <c r="B36" s="41" t="s">
        <v>86</v>
      </c>
      <c r="C36" s="41" t="s">
        <v>87</v>
      </c>
      <c r="D36" s="41" t="s">
        <v>76</v>
      </c>
      <c r="E36" s="41" t="s">
        <v>20</v>
      </c>
      <c r="F36" s="42"/>
      <c r="G36" s="42" t="s">
        <v>77</v>
      </c>
      <c r="H36" s="42" t="s">
        <v>82</v>
      </c>
      <c r="I36" s="41" t="s">
        <v>83</v>
      </c>
      <c r="J36" s="43" t="s">
        <v>889</v>
      </c>
      <c r="K36" s="41" t="s">
        <v>84</v>
      </c>
      <c r="L36" s="44" t="s">
        <v>80</v>
      </c>
      <c r="M36" s="45">
        <v>43868</v>
      </c>
      <c r="N36" s="46" t="s">
        <v>27</v>
      </c>
      <c r="O36" s="46" t="s">
        <v>81</v>
      </c>
      <c r="P36" s="1"/>
    </row>
    <row r="37" spans="1:16" ht="15.75" thickBot="1" x14ac:dyDescent="0.3">
      <c r="A37" s="41" t="s">
        <v>520</v>
      </c>
      <c r="B37" s="41" t="s">
        <v>86</v>
      </c>
      <c r="C37" s="41" t="s">
        <v>87</v>
      </c>
      <c r="D37" s="41" t="s">
        <v>76</v>
      </c>
      <c r="E37" s="41" t="s">
        <v>29</v>
      </c>
      <c r="F37" s="42"/>
      <c r="G37" s="42" t="s">
        <v>77</v>
      </c>
      <c r="H37" s="42" t="s">
        <v>78</v>
      </c>
      <c r="I37" s="41" t="s">
        <v>31</v>
      </c>
      <c r="J37" s="43" t="s">
        <v>889</v>
      </c>
      <c r="K37" s="41" t="s">
        <v>85</v>
      </c>
      <c r="L37" s="44" t="s">
        <v>80</v>
      </c>
      <c r="M37" s="45">
        <v>43868</v>
      </c>
      <c r="N37" s="46" t="s">
        <v>27</v>
      </c>
      <c r="O37" s="46" t="s">
        <v>81</v>
      </c>
      <c r="P37" s="1"/>
    </row>
    <row r="38" spans="1:16" ht="15.75" thickBot="1" x14ac:dyDescent="0.3">
      <c r="A38" s="41" t="s">
        <v>521</v>
      </c>
      <c r="B38" s="41" t="s">
        <v>88</v>
      </c>
      <c r="C38" s="41" t="s">
        <v>89</v>
      </c>
      <c r="D38" s="41" t="s">
        <v>76</v>
      </c>
      <c r="E38" s="41" t="s">
        <v>33</v>
      </c>
      <c r="F38" s="42" t="s">
        <v>90</v>
      </c>
      <c r="G38" s="42"/>
      <c r="H38" s="42" t="s">
        <v>91</v>
      </c>
      <c r="I38" s="41" t="s">
        <v>34</v>
      </c>
      <c r="J38" s="43" t="s">
        <v>889</v>
      </c>
      <c r="K38" s="41" t="s">
        <v>79</v>
      </c>
      <c r="L38" s="44" t="s">
        <v>92</v>
      </c>
      <c r="M38" s="45">
        <v>43850</v>
      </c>
      <c r="N38" s="46" t="s">
        <v>27</v>
      </c>
      <c r="O38" s="46" t="s">
        <v>28</v>
      </c>
      <c r="P38" s="1"/>
    </row>
    <row r="39" spans="1:16" ht="15.75" thickBot="1" x14ac:dyDescent="0.3">
      <c r="A39" s="41" t="s">
        <v>522</v>
      </c>
      <c r="B39" s="41" t="s">
        <v>88</v>
      </c>
      <c r="C39" s="41" t="s">
        <v>89</v>
      </c>
      <c r="D39" s="41" t="s">
        <v>76</v>
      </c>
      <c r="E39" s="41" t="s">
        <v>20</v>
      </c>
      <c r="F39" s="42" t="s">
        <v>90</v>
      </c>
      <c r="G39" s="42"/>
      <c r="H39" s="42" t="s">
        <v>93</v>
      </c>
      <c r="I39" s="41" t="s">
        <v>83</v>
      </c>
      <c r="J39" s="43" t="s">
        <v>889</v>
      </c>
      <c r="K39" s="41" t="s">
        <v>84</v>
      </c>
      <c r="L39" s="44" t="s">
        <v>92</v>
      </c>
      <c r="M39" s="45">
        <v>43850</v>
      </c>
      <c r="N39" s="46" t="s">
        <v>27</v>
      </c>
      <c r="O39" s="46" t="s">
        <v>28</v>
      </c>
      <c r="P39" s="1"/>
    </row>
    <row r="40" spans="1:16" ht="15.75" thickBot="1" x14ac:dyDescent="0.3">
      <c r="A40" s="41" t="s">
        <v>523</v>
      </c>
      <c r="B40" s="41" t="s">
        <v>88</v>
      </c>
      <c r="C40" s="41" t="s">
        <v>89</v>
      </c>
      <c r="D40" s="41" t="s">
        <v>76</v>
      </c>
      <c r="E40" s="41" t="s">
        <v>29</v>
      </c>
      <c r="F40" s="42" t="s">
        <v>90</v>
      </c>
      <c r="G40" s="42"/>
      <c r="H40" s="42" t="s">
        <v>91</v>
      </c>
      <c r="I40" s="41" t="s">
        <v>31</v>
      </c>
      <c r="J40" s="43" t="s">
        <v>889</v>
      </c>
      <c r="K40" s="41" t="s">
        <v>85</v>
      </c>
      <c r="L40" s="44" t="s">
        <v>92</v>
      </c>
      <c r="M40" s="45">
        <v>43850</v>
      </c>
      <c r="N40" s="46" t="s">
        <v>27</v>
      </c>
      <c r="O40" s="46" t="s">
        <v>28</v>
      </c>
      <c r="P40" s="1"/>
    </row>
    <row r="41" spans="1:16" ht="15.75" thickBot="1" x14ac:dyDescent="0.3">
      <c r="A41" s="41" t="s">
        <v>524</v>
      </c>
      <c r="B41" s="41" t="s">
        <v>94</v>
      </c>
      <c r="C41" s="41" t="s">
        <v>95</v>
      </c>
      <c r="D41" s="41" t="s">
        <v>76</v>
      </c>
      <c r="E41" s="41" t="s">
        <v>33</v>
      </c>
      <c r="F41" s="42" t="s">
        <v>90</v>
      </c>
      <c r="G41" s="42"/>
      <c r="H41" s="42" t="s">
        <v>91</v>
      </c>
      <c r="I41" s="41" t="s">
        <v>34</v>
      </c>
      <c r="J41" s="43" t="s">
        <v>889</v>
      </c>
      <c r="K41" s="41" t="s">
        <v>79</v>
      </c>
      <c r="L41" s="44" t="s">
        <v>92</v>
      </c>
      <c r="M41" s="45">
        <v>43850</v>
      </c>
      <c r="N41" s="46" t="s">
        <v>27</v>
      </c>
      <c r="O41" s="46" t="s">
        <v>28</v>
      </c>
      <c r="P41" s="1"/>
    </row>
    <row r="42" spans="1:16" s="1" customFormat="1" ht="15.75" thickBot="1" x14ac:dyDescent="0.3">
      <c r="A42" s="41" t="s">
        <v>525</v>
      </c>
      <c r="B42" s="41" t="s">
        <v>94</v>
      </c>
      <c r="C42" s="41" t="s">
        <v>95</v>
      </c>
      <c r="D42" s="41" t="s">
        <v>76</v>
      </c>
      <c r="E42" s="41" t="s">
        <v>20</v>
      </c>
      <c r="F42" s="42" t="s">
        <v>90</v>
      </c>
      <c r="G42" s="42"/>
      <c r="H42" s="42" t="s">
        <v>93</v>
      </c>
      <c r="I42" s="41" t="s">
        <v>83</v>
      </c>
      <c r="J42" s="43" t="s">
        <v>889</v>
      </c>
      <c r="K42" s="41" t="s">
        <v>84</v>
      </c>
      <c r="L42" s="44" t="s">
        <v>92</v>
      </c>
      <c r="M42" s="45">
        <v>43850</v>
      </c>
      <c r="N42" s="46" t="s">
        <v>27</v>
      </c>
      <c r="O42" s="46" t="s">
        <v>28</v>
      </c>
    </row>
    <row r="43" spans="1:16" s="1" customFormat="1" ht="15.75" thickBot="1" x14ac:dyDescent="0.3">
      <c r="A43" s="41" t="s">
        <v>526</v>
      </c>
      <c r="B43" s="41" t="s">
        <v>94</v>
      </c>
      <c r="C43" s="41" t="s">
        <v>95</v>
      </c>
      <c r="D43" s="41" t="s">
        <v>76</v>
      </c>
      <c r="E43" s="41" t="s">
        <v>29</v>
      </c>
      <c r="F43" s="42" t="s">
        <v>90</v>
      </c>
      <c r="G43" s="42"/>
      <c r="H43" s="42" t="s">
        <v>91</v>
      </c>
      <c r="I43" s="41" t="s">
        <v>31</v>
      </c>
      <c r="J43" s="43" t="s">
        <v>889</v>
      </c>
      <c r="K43" s="41" t="s">
        <v>85</v>
      </c>
      <c r="L43" s="44" t="s">
        <v>92</v>
      </c>
      <c r="M43" s="45">
        <v>43850</v>
      </c>
      <c r="N43" s="46" t="s">
        <v>27</v>
      </c>
      <c r="O43" s="46" t="s">
        <v>28</v>
      </c>
    </row>
    <row r="44" spans="1:16" s="1" customFormat="1" ht="15.75" thickBot="1" x14ac:dyDescent="0.3">
      <c r="A44" s="41" t="s">
        <v>527</v>
      </c>
      <c r="B44" s="41" t="s">
        <v>96</v>
      </c>
      <c r="C44" s="41" t="s">
        <v>97</v>
      </c>
      <c r="D44" s="41" t="s">
        <v>98</v>
      </c>
      <c r="E44" s="41" t="s">
        <v>33</v>
      </c>
      <c r="F44" s="42"/>
      <c r="G44" s="42" t="s">
        <v>99</v>
      </c>
      <c r="H44" s="42" t="s">
        <v>100</v>
      </c>
      <c r="I44" s="41" t="s">
        <v>34</v>
      </c>
      <c r="J44" s="43" t="s">
        <v>101</v>
      </c>
      <c r="K44" s="41" t="s">
        <v>79</v>
      </c>
      <c r="L44" s="44" t="s">
        <v>102</v>
      </c>
      <c r="M44" s="45">
        <v>43868</v>
      </c>
      <c r="N44" s="46" t="s">
        <v>27</v>
      </c>
      <c r="O44" s="46" t="s">
        <v>81</v>
      </c>
    </row>
    <row r="45" spans="1:16" s="1" customFormat="1" ht="15.75" thickBot="1" x14ac:dyDescent="0.3">
      <c r="A45" s="41" t="s">
        <v>528</v>
      </c>
      <c r="B45" s="41" t="s">
        <v>96</v>
      </c>
      <c r="C45" s="41" t="s">
        <v>97</v>
      </c>
      <c r="D45" s="41" t="s">
        <v>98</v>
      </c>
      <c r="E45" s="41" t="s">
        <v>20</v>
      </c>
      <c r="F45" s="42"/>
      <c r="G45" s="42" t="s">
        <v>99</v>
      </c>
      <c r="H45" s="42" t="s">
        <v>103</v>
      </c>
      <c r="I45" s="41" t="s">
        <v>83</v>
      </c>
      <c r="J45" s="43" t="s">
        <v>101</v>
      </c>
      <c r="K45" s="41" t="s">
        <v>84</v>
      </c>
      <c r="L45" s="44" t="s">
        <v>102</v>
      </c>
      <c r="M45" s="45">
        <v>43868</v>
      </c>
      <c r="N45" s="46" t="s">
        <v>27</v>
      </c>
      <c r="O45" s="46" t="s">
        <v>81</v>
      </c>
    </row>
    <row r="46" spans="1:16" s="1" customFormat="1" ht="15.75" thickBot="1" x14ac:dyDescent="0.3">
      <c r="A46" s="41" t="s">
        <v>529</v>
      </c>
      <c r="B46" s="41" t="s">
        <v>96</v>
      </c>
      <c r="C46" s="41" t="s">
        <v>97</v>
      </c>
      <c r="D46" s="41" t="s">
        <v>98</v>
      </c>
      <c r="E46" s="41" t="s">
        <v>29</v>
      </c>
      <c r="F46" s="42"/>
      <c r="G46" s="42" t="s">
        <v>99</v>
      </c>
      <c r="H46" s="42" t="s">
        <v>100</v>
      </c>
      <c r="I46" s="41" t="s">
        <v>31</v>
      </c>
      <c r="J46" s="43" t="s">
        <v>101</v>
      </c>
      <c r="K46" s="41" t="s">
        <v>85</v>
      </c>
      <c r="L46" s="44" t="s">
        <v>102</v>
      </c>
      <c r="M46" s="45">
        <v>43868</v>
      </c>
      <c r="N46" s="46" t="s">
        <v>27</v>
      </c>
      <c r="O46" s="46" t="s">
        <v>81</v>
      </c>
    </row>
    <row r="47" spans="1:16" s="1" customFormat="1" ht="15.75" thickBot="1" x14ac:dyDescent="0.3">
      <c r="A47" s="41" t="s">
        <v>530</v>
      </c>
      <c r="B47" s="41" t="s">
        <v>104</v>
      </c>
      <c r="C47" s="41" t="s">
        <v>105</v>
      </c>
      <c r="D47" s="41" t="s">
        <v>98</v>
      </c>
      <c r="E47" s="41" t="s">
        <v>33</v>
      </c>
      <c r="F47" s="42"/>
      <c r="G47" s="42" t="s">
        <v>99</v>
      </c>
      <c r="H47" s="42" t="s">
        <v>100</v>
      </c>
      <c r="I47" s="41" t="s">
        <v>34</v>
      </c>
      <c r="J47" s="43" t="s">
        <v>101</v>
      </c>
      <c r="K47" s="41" t="s">
        <v>79</v>
      </c>
      <c r="L47" s="44" t="s">
        <v>102</v>
      </c>
      <c r="M47" s="45">
        <v>43868</v>
      </c>
      <c r="N47" s="46" t="s">
        <v>27</v>
      </c>
      <c r="O47" s="46" t="s">
        <v>81</v>
      </c>
    </row>
    <row r="48" spans="1:16" s="1" customFormat="1" ht="15.75" thickBot="1" x14ac:dyDescent="0.3">
      <c r="A48" s="41" t="s">
        <v>531</v>
      </c>
      <c r="B48" s="41" t="s">
        <v>104</v>
      </c>
      <c r="C48" s="41" t="s">
        <v>105</v>
      </c>
      <c r="D48" s="41" t="s">
        <v>98</v>
      </c>
      <c r="E48" s="41" t="s">
        <v>20</v>
      </c>
      <c r="F48" s="42"/>
      <c r="G48" s="42" t="s">
        <v>99</v>
      </c>
      <c r="H48" s="42" t="s">
        <v>103</v>
      </c>
      <c r="I48" s="41" t="s">
        <v>83</v>
      </c>
      <c r="J48" s="43" t="s">
        <v>101</v>
      </c>
      <c r="K48" s="41" t="s">
        <v>84</v>
      </c>
      <c r="L48" s="44" t="s">
        <v>102</v>
      </c>
      <c r="M48" s="45">
        <v>43868</v>
      </c>
      <c r="N48" s="46" t="s">
        <v>27</v>
      </c>
      <c r="O48" s="46" t="s">
        <v>81</v>
      </c>
    </row>
    <row r="49" spans="1:15" s="1" customFormat="1" ht="15.75" thickBot="1" x14ac:dyDescent="0.3">
      <c r="A49" s="41" t="s">
        <v>532</v>
      </c>
      <c r="B49" s="41" t="s">
        <v>104</v>
      </c>
      <c r="C49" s="41" t="s">
        <v>105</v>
      </c>
      <c r="D49" s="41" t="s">
        <v>98</v>
      </c>
      <c r="E49" s="41" t="s">
        <v>29</v>
      </c>
      <c r="F49" s="42"/>
      <c r="G49" s="42" t="s">
        <v>99</v>
      </c>
      <c r="H49" s="42" t="s">
        <v>100</v>
      </c>
      <c r="I49" s="41" t="s">
        <v>31</v>
      </c>
      <c r="J49" s="43" t="s">
        <v>101</v>
      </c>
      <c r="K49" s="41" t="s">
        <v>85</v>
      </c>
      <c r="L49" s="44" t="s">
        <v>102</v>
      </c>
      <c r="M49" s="45">
        <v>43868</v>
      </c>
      <c r="N49" s="46" t="s">
        <v>27</v>
      </c>
      <c r="O49" s="46" t="s">
        <v>81</v>
      </c>
    </row>
    <row r="50" spans="1:15" s="1" customFormat="1" ht="15.75" thickBot="1" x14ac:dyDescent="0.3">
      <c r="A50" s="41" t="s">
        <v>533</v>
      </c>
      <c r="B50" s="41" t="s">
        <v>106</v>
      </c>
      <c r="C50" s="41" t="s">
        <v>107</v>
      </c>
      <c r="D50" s="41" t="s">
        <v>98</v>
      </c>
      <c r="E50" s="41" t="s">
        <v>33</v>
      </c>
      <c r="F50" s="42"/>
      <c r="G50" s="42" t="s">
        <v>99</v>
      </c>
      <c r="H50" s="42" t="s">
        <v>100</v>
      </c>
      <c r="I50" s="41" t="s">
        <v>34</v>
      </c>
      <c r="J50" s="43" t="s">
        <v>101</v>
      </c>
      <c r="K50" s="41" t="s">
        <v>79</v>
      </c>
      <c r="L50" s="44" t="s">
        <v>102</v>
      </c>
      <c r="M50" s="45">
        <v>43868</v>
      </c>
      <c r="N50" s="46" t="s">
        <v>27</v>
      </c>
      <c r="O50" s="46" t="s">
        <v>81</v>
      </c>
    </row>
    <row r="51" spans="1:15" s="1" customFormat="1" ht="15.75" thickBot="1" x14ac:dyDescent="0.3">
      <c r="A51" s="41" t="s">
        <v>534</v>
      </c>
      <c r="B51" s="41" t="s">
        <v>106</v>
      </c>
      <c r="C51" s="41" t="s">
        <v>107</v>
      </c>
      <c r="D51" s="41" t="s">
        <v>98</v>
      </c>
      <c r="E51" s="41" t="s">
        <v>20</v>
      </c>
      <c r="F51" s="42"/>
      <c r="G51" s="42" t="s">
        <v>99</v>
      </c>
      <c r="H51" s="42" t="s">
        <v>103</v>
      </c>
      <c r="I51" s="41" t="s">
        <v>83</v>
      </c>
      <c r="J51" s="43" t="s">
        <v>101</v>
      </c>
      <c r="K51" s="41" t="s">
        <v>84</v>
      </c>
      <c r="L51" s="44" t="s">
        <v>102</v>
      </c>
      <c r="M51" s="45">
        <v>43868</v>
      </c>
      <c r="N51" s="46" t="s">
        <v>27</v>
      </c>
      <c r="O51" s="46" t="s">
        <v>81</v>
      </c>
    </row>
    <row r="52" spans="1:15" s="1" customFormat="1" ht="15.75" thickBot="1" x14ac:dyDescent="0.3">
      <c r="A52" s="41" t="s">
        <v>535</v>
      </c>
      <c r="B52" s="41" t="s">
        <v>106</v>
      </c>
      <c r="C52" s="41" t="s">
        <v>107</v>
      </c>
      <c r="D52" s="41" t="s">
        <v>98</v>
      </c>
      <c r="E52" s="41" t="s">
        <v>29</v>
      </c>
      <c r="F52" s="42"/>
      <c r="G52" s="42" t="s">
        <v>99</v>
      </c>
      <c r="H52" s="42" t="s">
        <v>100</v>
      </c>
      <c r="I52" s="41" t="s">
        <v>31</v>
      </c>
      <c r="J52" s="43" t="s">
        <v>101</v>
      </c>
      <c r="K52" s="41" t="s">
        <v>85</v>
      </c>
      <c r="L52" s="44" t="s">
        <v>102</v>
      </c>
      <c r="M52" s="45">
        <v>43868</v>
      </c>
      <c r="N52" s="46" t="s">
        <v>27</v>
      </c>
      <c r="O52" s="46" t="s">
        <v>81</v>
      </c>
    </row>
    <row r="53" spans="1:15" s="1" customFormat="1" ht="15.75" thickBot="1" x14ac:dyDescent="0.3">
      <c r="A53" s="41" t="s">
        <v>536</v>
      </c>
      <c r="B53" s="41" t="s">
        <v>108</v>
      </c>
      <c r="C53" s="41" t="s">
        <v>109</v>
      </c>
      <c r="D53" s="41" t="s">
        <v>98</v>
      </c>
      <c r="E53" s="41" t="s">
        <v>33</v>
      </c>
      <c r="F53" s="42"/>
      <c r="G53" s="42" t="s">
        <v>99</v>
      </c>
      <c r="H53" s="42" t="s">
        <v>100</v>
      </c>
      <c r="I53" s="41" t="s">
        <v>34</v>
      </c>
      <c r="J53" s="43" t="s">
        <v>101</v>
      </c>
      <c r="K53" s="41" t="s">
        <v>79</v>
      </c>
      <c r="L53" s="44" t="s">
        <v>102</v>
      </c>
      <c r="M53" s="45">
        <v>43868</v>
      </c>
      <c r="N53" s="46" t="s">
        <v>27</v>
      </c>
      <c r="O53" s="46" t="s">
        <v>81</v>
      </c>
    </row>
    <row r="54" spans="1:15" s="1" customFormat="1" ht="15.75" thickBot="1" x14ac:dyDescent="0.3">
      <c r="A54" s="41" t="s">
        <v>537</v>
      </c>
      <c r="B54" s="41" t="s">
        <v>108</v>
      </c>
      <c r="C54" s="41" t="s">
        <v>109</v>
      </c>
      <c r="D54" s="41" t="s">
        <v>98</v>
      </c>
      <c r="E54" s="41" t="s">
        <v>20</v>
      </c>
      <c r="F54" s="42"/>
      <c r="G54" s="42" t="s">
        <v>99</v>
      </c>
      <c r="H54" s="42" t="s">
        <v>103</v>
      </c>
      <c r="I54" s="41" t="s">
        <v>83</v>
      </c>
      <c r="J54" s="43" t="s">
        <v>101</v>
      </c>
      <c r="K54" s="41" t="s">
        <v>84</v>
      </c>
      <c r="L54" s="44" t="s">
        <v>102</v>
      </c>
      <c r="M54" s="45">
        <v>43868</v>
      </c>
      <c r="N54" s="46" t="s">
        <v>27</v>
      </c>
      <c r="O54" s="46" t="s">
        <v>81</v>
      </c>
    </row>
    <row r="55" spans="1:15" s="1" customFormat="1" ht="15.75" thickBot="1" x14ac:dyDescent="0.3">
      <c r="A55" s="41" t="s">
        <v>538</v>
      </c>
      <c r="B55" s="41" t="s">
        <v>108</v>
      </c>
      <c r="C55" s="41" t="s">
        <v>109</v>
      </c>
      <c r="D55" s="41" t="s">
        <v>98</v>
      </c>
      <c r="E55" s="41" t="s">
        <v>29</v>
      </c>
      <c r="F55" s="42"/>
      <c r="G55" s="42" t="s">
        <v>99</v>
      </c>
      <c r="H55" s="42" t="s">
        <v>100</v>
      </c>
      <c r="I55" s="41" t="s">
        <v>31</v>
      </c>
      <c r="J55" s="43" t="s">
        <v>101</v>
      </c>
      <c r="K55" s="41" t="s">
        <v>85</v>
      </c>
      <c r="L55" s="44" t="s">
        <v>102</v>
      </c>
      <c r="M55" s="45">
        <v>43868</v>
      </c>
      <c r="N55" s="46" t="s">
        <v>27</v>
      </c>
      <c r="O55" s="46" t="s">
        <v>81</v>
      </c>
    </row>
    <row r="56" spans="1:15" s="1" customFormat="1" ht="15.75" thickBot="1" x14ac:dyDescent="0.3">
      <c r="A56" s="41" t="s">
        <v>539</v>
      </c>
      <c r="B56" s="41" t="s">
        <v>110</v>
      </c>
      <c r="C56" s="41" t="s">
        <v>111</v>
      </c>
      <c r="D56" s="41" t="s">
        <v>98</v>
      </c>
      <c r="E56" s="41" t="s">
        <v>33</v>
      </c>
      <c r="F56" s="42"/>
      <c r="G56" s="42" t="s">
        <v>99</v>
      </c>
      <c r="H56" s="42" t="s">
        <v>100</v>
      </c>
      <c r="I56" s="41" t="s">
        <v>34</v>
      </c>
      <c r="J56" s="43" t="s">
        <v>101</v>
      </c>
      <c r="K56" s="41" t="s">
        <v>79</v>
      </c>
      <c r="L56" s="44" t="s">
        <v>102</v>
      </c>
      <c r="M56" s="45">
        <v>43868</v>
      </c>
      <c r="N56" s="46" t="s">
        <v>27</v>
      </c>
      <c r="O56" s="46" t="s">
        <v>81</v>
      </c>
    </row>
    <row r="57" spans="1:15" s="1" customFormat="1" ht="15.75" thickBot="1" x14ac:dyDescent="0.3">
      <c r="A57" s="41" t="s">
        <v>540</v>
      </c>
      <c r="B57" s="41" t="s">
        <v>110</v>
      </c>
      <c r="C57" s="41" t="s">
        <v>111</v>
      </c>
      <c r="D57" s="41" t="s">
        <v>98</v>
      </c>
      <c r="E57" s="41" t="s">
        <v>20</v>
      </c>
      <c r="F57" s="42"/>
      <c r="G57" s="42" t="s">
        <v>99</v>
      </c>
      <c r="H57" s="42" t="s">
        <v>103</v>
      </c>
      <c r="I57" s="41" t="s">
        <v>83</v>
      </c>
      <c r="J57" s="43" t="s">
        <v>101</v>
      </c>
      <c r="K57" s="41" t="s">
        <v>84</v>
      </c>
      <c r="L57" s="44" t="s">
        <v>102</v>
      </c>
      <c r="M57" s="45">
        <v>43868</v>
      </c>
      <c r="N57" s="46" t="s">
        <v>27</v>
      </c>
      <c r="O57" s="46" t="s">
        <v>81</v>
      </c>
    </row>
    <row r="58" spans="1:15" s="1" customFormat="1" ht="15.75" thickBot="1" x14ac:dyDescent="0.3">
      <c r="A58" s="41" t="s">
        <v>541</v>
      </c>
      <c r="B58" s="41" t="s">
        <v>110</v>
      </c>
      <c r="C58" s="41" t="s">
        <v>111</v>
      </c>
      <c r="D58" s="41" t="s">
        <v>98</v>
      </c>
      <c r="E58" s="41" t="s">
        <v>29</v>
      </c>
      <c r="F58" s="42"/>
      <c r="G58" s="42" t="s">
        <v>99</v>
      </c>
      <c r="H58" s="42" t="s">
        <v>100</v>
      </c>
      <c r="I58" s="41" t="s">
        <v>31</v>
      </c>
      <c r="J58" s="43" t="s">
        <v>101</v>
      </c>
      <c r="K58" s="41" t="s">
        <v>85</v>
      </c>
      <c r="L58" s="44" t="s">
        <v>102</v>
      </c>
      <c r="M58" s="45">
        <v>43868</v>
      </c>
      <c r="N58" s="46" t="s">
        <v>27</v>
      </c>
      <c r="O58" s="46" t="s">
        <v>81</v>
      </c>
    </row>
    <row r="59" spans="1:15" s="1" customFormat="1" ht="15.75" thickBot="1" x14ac:dyDescent="0.3">
      <c r="A59" s="41" t="s">
        <v>542</v>
      </c>
      <c r="B59" s="41" t="s">
        <v>112</v>
      </c>
      <c r="C59" s="41" t="s">
        <v>113</v>
      </c>
      <c r="D59" s="41" t="s">
        <v>98</v>
      </c>
      <c r="E59" s="41" t="s">
        <v>33</v>
      </c>
      <c r="F59" s="42"/>
      <c r="G59" s="42" t="s">
        <v>99</v>
      </c>
      <c r="H59" s="42" t="s">
        <v>100</v>
      </c>
      <c r="I59" s="41" t="s">
        <v>34</v>
      </c>
      <c r="J59" s="43" t="s">
        <v>101</v>
      </c>
      <c r="K59" s="41" t="s">
        <v>79</v>
      </c>
      <c r="L59" s="44" t="s">
        <v>102</v>
      </c>
      <c r="M59" s="45">
        <v>43868</v>
      </c>
      <c r="N59" s="46" t="s">
        <v>27</v>
      </c>
      <c r="O59" s="46" t="s">
        <v>81</v>
      </c>
    </row>
    <row r="60" spans="1:15" s="1" customFormat="1" ht="15.75" thickBot="1" x14ac:dyDescent="0.3">
      <c r="A60" s="41" t="s">
        <v>543</v>
      </c>
      <c r="B60" s="41" t="s">
        <v>112</v>
      </c>
      <c r="C60" s="41" t="s">
        <v>113</v>
      </c>
      <c r="D60" s="41" t="s">
        <v>98</v>
      </c>
      <c r="E60" s="41" t="s">
        <v>20</v>
      </c>
      <c r="F60" s="42"/>
      <c r="G60" s="42" t="s">
        <v>99</v>
      </c>
      <c r="H60" s="42" t="s">
        <v>103</v>
      </c>
      <c r="I60" s="41" t="s">
        <v>83</v>
      </c>
      <c r="J60" s="43" t="s">
        <v>101</v>
      </c>
      <c r="K60" s="41" t="s">
        <v>84</v>
      </c>
      <c r="L60" s="44" t="s">
        <v>102</v>
      </c>
      <c r="M60" s="45">
        <v>43868</v>
      </c>
      <c r="N60" s="46" t="s">
        <v>27</v>
      </c>
      <c r="O60" s="46" t="s">
        <v>81</v>
      </c>
    </row>
    <row r="61" spans="1:15" s="1" customFormat="1" ht="15.75" thickBot="1" x14ac:dyDescent="0.3">
      <c r="A61" s="41" t="s">
        <v>544</v>
      </c>
      <c r="B61" s="41" t="s">
        <v>112</v>
      </c>
      <c r="C61" s="41" t="s">
        <v>113</v>
      </c>
      <c r="D61" s="41" t="s">
        <v>98</v>
      </c>
      <c r="E61" s="41" t="s">
        <v>29</v>
      </c>
      <c r="F61" s="42"/>
      <c r="G61" s="42" t="s">
        <v>99</v>
      </c>
      <c r="H61" s="42" t="s">
        <v>100</v>
      </c>
      <c r="I61" s="41" t="s">
        <v>31</v>
      </c>
      <c r="J61" s="43" t="s">
        <v>101</v>
      </c>
      <c r="K61" s="41" t="s">
        <v>85</v>
      </c>
      <c r="L61" s="44" t="s">
        <v>102</v>
      </c>
      <c r="M61" s="45">
        <v>43868</v>
      </c>
      <c r="N61" s="46" t="s">
        <v>27</v>
      </c>
      <c r="O61" s="46" t="s">
        <v>81</v>
      </c>
    </row>
    <row r="62" spans="1:15" s="1" customFormat="1" ht="15.75" thickBot="1" x14ac:dyDescent="0.3">
      <c r="A62" s="41" t="s">
        <v>545</v>
      </c>
      <c r="B62" s="41" t="s">
        <v>114</v>
      </c>
      <c r="C62" s="41" t="s">
        <v>115</v>
      </c>
      <c r="D62" s="41" t="s">
        <v>98</v>
      </c>
      <c r="E62" s="41" t="s">
        <v>33</v>
      </c>
      <c r="F62" s="42"/>
      <c r="G62" s="42" t="s">
        <v>99</v>
      </c>
      <c r="H62" s="42" t="s">
        <v>100</v>
      </c>
      <c r="I62" s="41" t="s">
        <v>34</v>
      </c>
      <c r="J62" s="43" t="s">
        <v>101</v>
      </c>
      <c r="K62" s="41" t="s">
        <v>79</v>
      </c>
      <c r="L62" s="44" t="s">
        <v>102</v>
      </c>
      <c r="M62" s="45">
        <v>43868</v>
      </c>
      <c r="N62" s="46" t="s">
        <v>27</v>
      </c>
      <c r="O62" s="46" t="s">
        <v>81</v>
      </c>
    </row>
    <row r="63" spans="1:15" s="1" customFormat="1" ht="15.75" thickBot="1" x14ac:dyDescent="0.3">
      <c r="A63" s="41" t="s">
        <v>546</v>
      </c>
      <c r="B63" s="41" t="s">
        <v>114</v>
      </c>
      <c r="C63" s="41" t="s">
        <v>115</v>
      </c>
      <c r="D63" s="41" t="s">
        <v>98</v>
      </c>
      <c r="E63" s="41" t="s">
        <v>20</v>
      </c>
      <c r="F63" s="42"/>
      <c r="G63" s="42" t="s">
        <v>99</v>
      </c>
      <c r="H63" s="42" t="s">
        <v>103</v>
      </c>
      <c r="I63" s="41" t="s">
        <v>83</v>
      </c>
      <c r="J63" s="43" t="s">
        <v>101</v>
      </c>
      <c r="K63" s="41" t="s">
        <v>84</v>
      </c>
      <c r="L63" s="44" t="s">
        <v>102</v>
      </c>
      <c r="M63" s="45">
        <v>43868</v>
      </c>
      <c r="N63" s="46" t="s">
        <v>27</v>
      </c>
      <c r="O63" s="46" t="s">
        <v>81</v>
      </c>
    </row>
    <row r="64" spans="1:15" s="1" customFormat="1" ht="15.75" thickBot="1" x14ac:dyDescent="0.3">
      <c r="A64" s="41" t="s">
        <v>547</v>
      </c>
      <c r="B64" s="41" t="s">
        <v>114</v>
      </c>
      <c r="C64" s="41" t="s">
        <v>115</v>
      </c>
      <c r="D64" s="41" t="s">
        <v>98</v>
      </c>
      <c r="E64" s="41" t="s">
        <v>29</v>
      </c>
      <c r="F64" s="42"/>
      <c r="G64" s="42" t="s">
        <v>99</v>
      </c>
      <c r="H64" s="42" t="s">
        <v>100</v>
      </c>
      <c r="I64" s="41" t="s">
        <v>31</v>
      </c>
      <c r="J64" s="43" t="s">
        <v>101</v>
      </c>
      <c r="K64" s="41" t="s">
        <v>85</v>
      </c>
      <c r="L64" s="44" t="s">
        <v>102</v>
      </c>
      <c r="M64" s="45">
        <v>43868</v>
      </c>
      <c r="N64" s="46" t="s">
        <v>27</v>
      </c>
      <c r="O64" s="46" t="s">
        <v>81</v>
      </c>
    </row>
    <row r="65" spans="1:15" s="1" customFormat="1" ht="15.75" thickBot="1" x14ac:dyDescent="0.3">
      <c r="A65" s="41" t="s">
        <v>548</v>
      </c>
      <c r="B65" s="41" t="s">
        <v>116</v>
      </c>
      <c r="C65" s="41" t="s">
        <v>117</v>
      </c>
      <c r="D65" s="41" t="s">
        <v>98</v>
      </c>
      <c r="E65" s="41" t="s">
        <v>33</v>
      </c>
      <c r="F65" s="42"/>
      <c r="G65" s="42" t="s">
        <v>99</v>
      </c>
      <c r="H65" s="42" t="s">
        <v>100</v>
      </c>
      <c r="I65" s="41" t="s">
        <v>34</v>
      </c>
      <c r="J65" s="43" t="s">
        <v>101</v>
      </c>
      <c r="K65" s="41" t="s">
        <v>79</v>
      </c>
      <c r="L65" s="44" t="s">
        <v>102</v>
      </c>
      <c r="M65" s="45">
        <v>43868</v>
      </c>
      <c r="N65" s="46" t="s">
        <v>27</v>
      </c>
      <c r="O65" s="46" t="s">
        <v>81</v>
      </c>
    </row>
    <row r="66" spans="1:15" s="1" customFormat="1" ht="15.75" thickBot="1" x14ac:dyDescent="0.3">
      <c r="A66" s="41" t="s">
        <v>549</v>
      </c>
      <c r="B66" s="41" t="s">
        <v>116</v>
      </c>
      <c r="C66" s="41" t="s">
        <v>117</v>
      </c>
      <c r="D66" s="41" t="s">
        <v>98</v>
      </c>
      <c r="E66" s="41" t="s">
        <v>20</v>
      </c>
      <c r="F66" s="42"/>
      <c r="G66" s="42" t="s">
        <v>99</v>
      </c>
      <c r="H66" s="42" t="s">
        <v>103</v>
      </c>
      <c r="I66" s="41" t="s">
        <v>83</v>
      </c>
      <c r="J66" s="43" t="s">
        <v>101</v>
      </c>
      <c r="K66" s="41" t="s">
        <v>84</v>
      </c>
      <c r="L66" s="44" t="s">
        <v>102</v>
      </c>
      <c r="M66" s="45">
        <v>43868</v>
      </c>
      <c r="N66" s="46" t="s">
        <v>27</v>
      </c>
      <c r="O66" s="46" t="s">
        <v>81</v>
      </c>
    </row>
    <row r="67" spans="1:15" s="1" customFormat="1" ht="15.75" thickBot="1" x14ac:dyDescent="0.3">
      <c r="A67" s="41" t="s">
        <v>550</v>
      </c>
      <c r="B67" s="41" t="s">
        <v>116</v>
      </c>
      <c r="C67" s="41" t="s">
        <v>117</v>
      </c>
      <c r="D67" s="41" t="s">
        <v>98</v>
      </c>
      <c r="E67" s="41" t="s">
        <v>29</v>
      </c>
      <c r="F67" s="42"/>
      <c r="G67" s="42" t="s">
        <v>99</v>
      </c>
      <c r="H67" s="42" t="s">
        <v>100</v>
      </c>
      <c r="I67" s="41" t="s">
        <v>31</v>
      </c>
      <c r="J67" s="43" t="s">
        <v>101</v>
      </c>
      <c r="K67" s="41" t="s">
        <v>85</v>
      </c>
      <c r="L67" s="44" t="s">
        <v>102</v>
      </c>
      <c r="M67" s="45">
        <v>43868</v>
      </c>
      <c r="N67" s="46" t="s">
        <v>27</v>
      </c>
      <c r="O67" s="46" t="s">
        <v>81</v>
      </c>
    </row>
    <row r="68" spans="1:15" s="1" customFormat="1" ht="15.75" thickBot="1" x14ac:dyDescent="0.3">
      <c r="A68" s="41" t="s">
        <v>551</v>
      </c>
      <c r="B68" s="41" t="s">
        <v>118</v>
      </c>
      <c r="C68" s="41" t="s">
        <v>119</v>
      </c>
      <c r="D68" s="41" t="s">
        <v>120</v>
      </c>
      <c r="E68" s="41" t="s">
        <v>20</v>
      </c>
      <c r="F68" s="42"/>
      <c r="G68" s="42" t="s">
        <v>121</v>
      </c>
      <c r="H68" s="42" t="s">
        <v>122</v>
      </c>
      <c r="I68" s="42" t="s">
        <v>23</v>
      </c>
      <c r="J68" s="42" t="s">
        <v>123</v>
      </c>
      <c r="K68" s="41" t="s">
        <v>85</v>
      </c>
      <c r="L68" s="44" t="s">
        <v>124</v>
      </c>
      <c r="M68" s="45">
        <v>43981</v>
      </c>
      <c r="N68" s="46" t="s">
        <v>27</v>
      </c>
      <c r="O68" s="46" t="s">
        <v>81</v>
      </c>
    </row>
    <row r="69" spans="1:15" s="1" customFormat="1" ht="15.75" thickBot="1" x14ac:dyDescent="0.3">
      <c r="A69" s="41" t="s">
        <v>552</v>
      </c>
      <c r="B69" s="41" t="s">
        <v>118</v>
      </c>
      <c r="C69" s="41" t="s">
        <v>125</v>
      </c>
      <c r="D69" s="41" t="s">
        <v>120</v>
      </c>
      <c r="E69" s="41" t="s">
        <v>33</v>
      </c>
      <c r="F69" s="42"/>
      <c r="G69" s="42" t="s">
        <v>121</v>
      </c>
      <c r="H69" s="42" t="s">
        <v>126</v>
      </c>
      <c r="I69" s="42" t="s">
        <v>34</v>
      </c>
      <c r="J69" s="42" t="s">
        <v>123</v>
      </c>
      <c r="K69" s="41" t="s">
        <v>85</v>
      </c>
      <c r="L69" s="44" t="s">
        <v>124</v>
      </c>
      <c r="M69" s="45">
        <v>43981</v>
      </c>
      <c r="N69" s="46" t="s">
        <v>27</v>
      </c>
      <c r="O69" s="46" t="s">
        <v>81</v>
      </c>
    </row>
    <row r="70" spans="1:15" s="1" customFormat="1" ht="15.75" thickBot="1" x14ac:dyDescent="0.3">
      <c r="A70" s="41" t="s">
        <v>553</v>
      </c>
      <c r="B70" s="41" t="s">
        <v>127</v>
      </c>
      <c r="C70" s="41" t="s">
        <v>128</v>
      </c>
      <c r="D70" s="41" t="s">
        <v>120</v>
      </c>
      <c r="E70" s="41" t="s">
        <v>20</v>
      </c>
      <c r="F70" s="42"/>
      <c r="G70" s="42" t="s">
        <v>121</v>
      </c>
      <c r="H70" s="42" t="s">
        <v>122</v>
      </c>
      <c r="I70" s="42" t="s">
        <v>23</v>
      </c>
      <c r="J70" s="42" t="s">
        <v>123</v>
      </c>
      <c r="K70" s="41" t="s">
        <v>85</v>
      </c>
      <c r="L70" s="44" t="s">
        <v>124</v>
      </c>
      <c r="M70" s="45">
        <v>43981</v>
      </c>
      <c r="N70" s="46" t="s">
        <v>27</v>
      </c>
      <c r="O70" s="46" t="s">
        <v>81</v>
      </c>
    </row>
    <row r="71" spans="1:15" s="1" customFormat="1" ht="15.75" thickBot="1" x14ac:dyDescent="0.3">
      <c r="A71" s="41" t="s">
        <v>554</v>
      </c>
      <c r="B71" s="41" t="s">
        <v>127</v>
      </c>
      <c r="C71" s="41" t="s">
        <v>128</v>
      </c>
      <c r="D71" s="41" t="s">
        <v>120</v>
      </c>
      <c r="E71" s="41" t="s">
        <v>33</v>
      </c>
      <c r="F71" s="42"/>
      <c r="G71" s="42" t="s">
        <v>121</v>
      </c>
      <c r="H71" s="42" t="s">
        <v>126</v>
      </c>
      <c r="I71" s="42" t="s">
        <v>34</v>
      </c>
      <c r="J71" s="42" t="s">
        <v>123</v>
      </c>
      <c r="K71" s="41" t="s">
        <v>85</v>
      </c>
      <c r="L71" s="44" t="s">
        <v>124</v>
      </c>
      <c r="M71" s="45">
        <v>43981</v>
      </c>
      <c r="N71" s="46" t="s">
        <v>27</v>
      </c>
      <c r="O71" s="46" t="s">
        <v>81</v>
      </c>
    </row>
    <row r="72" spans="1:15" s="1" customFormat="1" ht="15.75" thickBot="1" x14ac:dyDescent="0.3">
      <c r="A72" s="41" t="s">
        <v>555</v>
      </c>
      <c r="B72" s="41" t="s">
        <v>129</v>
      </c>
      <c r="C72" s="41" t="s">
        <v>130</v>
      </c>
      <c r="D72" s="41" t="s">
        <v>120</v>
      </c>
      <c r="E72" s="41" t="s">
        <v>20</v>
      </c>
      <c r="F72" s="42"/>
      <c r="G72" s="42" t="s">
        <v>121</v>
      </c>
      <c r="H72" s="42" t="s">
        <v>122</v>
      </c>
      <c r="I72" s="42" t="s">
        <v>23</v>
      </c>
      <c r="J72" s="42" t="s">
        <v>123</v>
      </c>
      <c r="K72" s="41" t="s">
        <v>85</v>
      </c>
      <c r="L72" s="44" t="s">
        <v>124</v>
      </c>
      <c r="M72" s="45">
        <v>43981</v>
      </c>
      <c r="N72" s="46" t="s">
        <v>27</v>
      </c>
      <c r="O72" s="46" t="s">
        <v>81</v>
      </c>
    </row>
    <row r="73" spans="1:15" s="1" customFormat="1" ht="15.75" thickBot="1" x14ac:dyDescent="0.3">
      <c r="A73" s="41" t="s">
        <v>556</v>
      </c>
      <c r="B73" s="41" t="s">
        <v>129</v>
      </c>
      <c r="C73" s="41" t="s">
        <v>130</v>
      </c>
      <c r="D73" s="41" t="s">
        <v>120</v>
      </c>
      <c r="E73" s="41" t="s">
        <v>33</v>
      </c>
      <c r="F73" s="42"/>
      <c r="G73" s="42" t="s">
        <v>121</v>
      </c>
      <c r="H73" s="42" t="s">
        <v>126</v>
      </c>
      <c r="I73" s="42" t="s">
        <v>34</v>
      </c>
      <c r="J73" s="42" t="s">
        <v>123</v>
      </c>
      <c r="K73" s="41" t="s">
        <v>85</v>
      </c>
      <c r="L73" s="44" t="s">
        <v>124</v>
      </c>
      <c r="M73" s="45">
        <v>43981</v>
      </c>
      <c r="N73" s="46" t="s">
        <v>27</v>
      </c>
      <c r="O73" s="46" t="s">
        <v>81</v>
      </c>
    </row>
    <row r="74" spans="1:15" s="1" customFormat="1" ht="15.75" thickBot="1" x14ac:dyDescent="0.3">
      <c r="A74" s="41" t="s">
        <v>557</v>
      </c>
      <c r="B74" s="47" t="s">
        <v>131</v>
      </c>
      <c r="C74" s="41" t="s">
        <v>132</v>
      </c>
      <c r="D74" s="41" t="s">
        <v>133</v>
      </c>
      <c r="E74" s="41" t="s">
        <v>20</v>
      </c>
      <c r="F74" s="48" t="s">
        <v>134</v>
      </c>
      <c r="G74" s="48"/>
      <c r="H74" s="48" t="s">
        <v>135</v>
      </c>
      <c r="I74" s="41" t="s">
        <v>136</v>
      </c>
      <c r="J74" s="41" t="s">
        <v>137</v>
      </c>
      <c r="K74" s="41" t="s">
        <v>138</v>
      </c>
      <c r="L74" s="44" t="s">
        <v>139</v>
      </c>
      <c r="M74" s="45">
        <v>43552</v>
      </c>
      <c r="N74" s="46" t="s">
        <v>140</v>
      </c>
      <c r="O74" s="46" t="s">
        <v>28</v>
      </c>
    </row>
    <row r="75" spans="1:15" s="1" customFormat="1" ht="15.75" thickBot="1" x14ac:dyDescent="0.3">
      <c r="A75" s="41" t="s">
        <v>558</v>
      </c>
      <c r="B75" s="47" t="s">
        <v>141</v>
      </c>
      <c r="C75" s="41" t="s">
        <v>142</v>
      </c>
      <c r="D75" s="41" t="s">
        <v>143</v>
      </c>
      <c r="E75" s="41" t="s">
        <v>20</v>
      </c>
      <c r="F75" s="48" t="s">
        <v>144</v>
      </c>
      <c r="G75" s="48"/>
      <c r="H75" s="48" t="s">
        <v>145</v>
      </c>
      <c r="I75" s="41" t="s">
        <v>83</v>
      </c>
      <c r="J75" s="41" t="s">
        <v>146</v>
      </c>
      <c r="K75" s="41" t="s">
        <v>147</v>
      </c>
      <c r="L75" s="44" t="s">
        <v>148</v>
      </c>
      <c r="M75" s="45">
        <v>43362</v>
      </c>
      <c r="N75" s="46" t="s">
        <v>140</v>
      </c>
      <c r="O75" s="46" t="s">
        <v>28</v>
      </c>
    </row>
    <row r="76" spans="1:15" s="1" customFormat="1" ht="15.75" thickBot="1" x14ac:dyDescent="0.3">
      <c r="A76" s="41" t="s">
        <v>559</v>
      </c>
      <c r="B76" s="47" t="s">
        <v>141</v>
      </c>
      <c r="C76" s="41" t="s">
        <v>142</v>
      </c>
      <c r="D76" s="41" t="s">
        <v>143</v>
      </c>
      <c r="E76" s="41" t="s">
        <v>33</v>
      </c>
      <c r="F76" s="48" t="s">
        <v>144</v>
      </c>
      <c r="G76" s="48"/>
      <c r="H76" s="48" t="s">
        <v>149</v>
      </c>
      <c r="I76" s="41" t="s">
        <v>34</v>
      </c>
      <c r="J76" s="41" t="s">
        <v>146</v>
      </c>
      <c r="K76" s="41" t="s">
        <v>150</v>
      </c>
      <c r="L76" s="44" t="s">
        <v>148</v>
      </c>
      <c r="M76" s="45">
        <v>43362</v>
      </c>
      <c r="N76" s="46" t="s">
        <v>140</v>
      </c>
      <c r="O76" s="46" t="s">
        <v>28</v>
      </c>
    </row>
    <row r="77" spans="1:15" s="1" customFormat="1" ht="15.75" thickBot="1" x14ac:dyDescent="0.3">
      <c r="A77" s="41" t="s">
        <v>560</v>
      </c>
      <c r="B77" s="47" t="s">
        <v>141</v>
      </c>
      <c r="C77" s="41" t="s">
        <v>142</v>
      </c>
      <c r="D77" s="41" t="s">
        <v>143</v>
      </c>
      <c r="E77" s="41" t="s">
        <v>29</v>
      </c>
      <c r="F77" s="48" t="s">
        <v>144</v>
      </c>
      <c r="G77" s="48"/>
      <c r="H77" s="48" t="s">
        <v>149</v>
      </c>
      <c r="I77" s="41" t="s">
        <v>151</v>
      </c>
      <c r="J77" s="41" t="s">
        <v>146</v>
      </c>
      <c r="K77" s="41" t="s">
        <v>152</v>
      </c>
      <c r="L77" s="44" t="s">
        <v>148</v>
      </c>
      <c r="M77" s="45">
        <v>43362</v>
      </c>
      <c r="N77" s="46" t="s">
        <v>140</v>
      </c>
      <c r="O77" s="46" t="s">
        <v>28</v>
      </c>
    </row>
    <row r="78" spans="1:15" s="1" customFormat="1" ht="15.75" thickBot="1" x14ac:dyDescent="0.3">
      <c r="A78" s="41" t="s">
        <v>561</v>
      </c>
      <c r="B78" s="47" t="s">
        <v>153</v>
      </c>
      <c r="C78" s="41" t="s">
        <v>154</v>
      </c>
      <c r="D78" s="41" t="s">
        <v>155</v>
      </c>
      <c r="E78" s="41" t="s">
        <v>156</v>
      </c>
      <c r="F78" s="49" t="s">
        <v>157</v>
      </c>
      <c r="G78" s="49"/>
      <c r="H78" s="49" t="s">
        <v>157</v>
      </c>
      <c r="I78" s="41" t="s">
        <v>158</v>
      </c>
      <c r="J78" s="41" t="s">
        <v>159</v>
      </c>
      <c r="K78" s="41" t="s">
        <v>160</v>
      </c>
      <c r="L78" s="44" t="s">
        <v>161</v>
      </c>
      <c r="M78" s="45">
        <v>43964</v>
      </c>
      <c r="N78" s="46" t="s">
        <v>140</v>
      </c>
      <c r="O78" s="46" t="s">
        <v>81</v>
      </c>
    </row>
    <row r="79" spans="1:15" s="1" customFormat="1" ht="15.75" thickBot="1" x14ac:dyDescent="0.3">
      <c r="A79" s="41" t="s">
        <v>562</v>
      </c>
      <c r="B79" s="47" t="s">
        <v>153</v>
      </c>
      <c r="C79" s="41" t="s">
        <v>154</v>
      </c>
      <c r="D79" s="41" t="s">
        <v>155</v>
      </c>
      <c r="E79" s="41" t="s">
        <v>29</v>
      </c>
      <c r="F79" s="48" t="s">
        <v>162</v>
      </c>
      <c r="G79" s="48"/>
      <c r="H79" s="48" t="s">
        <v>163</v>
      </c>
      <c r="I79" s="41" t="s">
        <v>164</v>
      </c>
      <c r="J79" s="41" t="s">
        <v>159</v>
      </c>
      <c r="K79" s="41" t="s">
        <v>165</v>
      </c>
      <c r="L79" s="44" t="s">
        <v>161</v>
      </c>
      <c r="M79" s="45">
        <v>43964</v>
      </c>
      <c r="N79" s="46" t="s">
        <v>140</v>
      </c>
      <c r="O79" s="46" t="s">
        <v>81</v>
      </c>
    </row>
    <row r="80" spans="1:15" s="1" customFormat="1" ht="15.75" thickBot="1" x14ac:dyDescent="0.3">
      <c r="A80" s="41" t="s">
        <v>563</v>
      </c>
      <c r="B80" s="47" t="s">
        <v>153</v>
      </c>
      <c r="C80" s="41" t="s">
        <v>154</v>
      </c>
      <c r="D80" s="41" t="s">
        <v>155</v>
      </c>
      <c r="E80" s="41" t="s">
        <v>33</v>
      </c>
      <c r="F80" s="48" t="s">
        <v>162</v>
      </c>
      <c r="G80" s="48"/>
      <c r="H80" s="48" t="s">
        <v>166</v>
      </c>
      <c r="I80" s="41" t="s">
        <v>167</v>
      </c>
      <c r="J80" s="41" t="s">
        <v>159</v>
      </c>
      <c r="K80" s="41" t="s">
        <v>168</v>
      </c>
      <c r="L80" s="44" t="s">
        <v>161</v>
      </c>
      <c r="M80" s="45">
        <v>43964</v>
      </c>
      <c r="N80" s="46" t="s">
        <v>140</v>
      </c>
      <c r="O80" s="46" t="s">
        <v>81</v>
      </c>
    </row>
    <row r="81" spans="1:15" s="1" customFormat="1" ht="15.75" thickBot="1" x14ac:dyDescent="0.3">
      <c r="A81" s="41" t="s">
        <v>564</v>
      </c>
      <c r="B81" s="47" t="s">
        <v>153</v>
      </c>
      <c r="C81" s="41" t="s">
        <v>154</v>
      </c>
      <c r="D81" s="41" t="s">
        <v>155</v>
      </c>
      <c r="E81" s="41" t="s">
        <v>20</v>
      </c>
      <c r="F81" s="48" t="s">
        <v>162</v>
      </c>
      <c r="G81" s="48"/>
      <c r="H81" s="48" t="s">
        <v>169</v>
      </c>
      <c r="I81" s="41" t="s">
        <v>170</v>
      </c>
      <c r="J81" s="41" t="s">
        <v>171</v>
      </c>
      <c r="K81" s="41" t="s">
        <v>172</v>
      </c>
      <c r="L81" s="44" t="s">
        <v>161</v>
      </c>
      <c r="M81" s="45">
        <v>43964</v>
      </c>
      <c r="N81" s="46" t="s">
        <v>140</v>
      </c>
      <c r="O81" s="46" t="s">
        <v>81</v>
      </c>
    </row>
    <row r="82" spans="1:15" s="1" customFormat="1" ht="15.75" thickBot="1" x14ac:dyDescent="0.3">
      <c r="A82" s="41" t="s">
        <v>565</v>
      </c>
      <c r="B82" s="47" t="s">
        <v>173</v>
      </c>
      <c r="C82" s="41" t="s">
        <v>174</v>
      </c>
      <c r="D82" s="41" t="s">
        <v>155</v>
      </c>
      <c r="E82" s="41" t="s">
        <v>20</v>
      </c>
      <c r="F82" s="48" t="s">
        <v>162</v>
      </c>
      <c r="G82" s="48"/>
      <c r="H82" s="48" t="s">
        <v>169</v>
      </c>
      <c r="I82" s="41" t="s">
        <v>175</v>
      </c>
      <c r="J82" s="41" t="s">
        <v>171</v>
      </c>
      <c r="K82" s="41" t="s">
        <v>176</v>
      </c>
      <c r="L82" s="44" t="s">
        <v>161</v>
      </c>
      <c r="M82" s="45">
        <v>43964</v>
      </c>
      <c r="N82" s="46" t="s">
        <v>140</v>
      </c>
      <c r="O82" s="46" t="s">
        <v>81</v>
      </c>
    </row>
    <row r="83" spans="1:15" s="1" customFormat="1" ht="15.75" thickBot="1" x14ac:dyDescent="0.3">
      <c r="A83" s="41" t="s">
        <v>566</v>
      </c>
      <c r="B83" s="47" t="s">
        <v>173</v>
      </c>
      <c r="C83" s="41" t="s">
        <v>174</v>
      </c>
      <c r="D83" s="41" t="s">
        <v>155</v>
      </c>
      <c r="E83" s="41" t="s">
        <v>29</v>
      </c>
      <c r="F83" s="48" t="s">
        <v>162</v>
      </c>
      <c r="G83" s="48"/>
      <c r="H83" s="48" t="s">
        <v>163</v>
      </c>
      <c r="I83" s="41" t="s">
        <v>164</v>
      </c>
      <c r="J83" s="41" t="s">
        <v>171</v>
      </c>
      <c r="K83" s="41" t="s">
        <v>177</v>
      </c>
      <c r="L83" s="44" t="s">
        <v>161</v>
      </c>
      <c r="M83" s="45">
        <v>43964</v>
      </c>
      <c r="N83" s="46" t="s">
        <v>140</v>
      </c>
      <c r="O83" s="46" t="s">
        <v>81</v>
      </c>
    </row>
    <row r="84" spans="1:15" s="1" customFormat="1" ht="15.75" thickBot="1" x14ac:dyDescent="0.3">
      <c r="A84" s="41" t="s">
        <v>567</v>
      </c>
      <c r="B84" s="47" t="s">
        <v>173</v>
      </c>
      <c r="C84" s="41" t="s">
        <v>174</v>
      </c>
      <c r="D84" s="41" t="s">
        <v>155</v>
      </c>
      <c r="E84" s="41" t="s">
        <v>33</v>
      </c>
      <c r="F84" s="48" t="s">
        <v>162</v>
      </c>
      <c r="G84" s="48"/>
      <c r="H84" s="48" t="s">
        <v>166</v>
      </c>
      <c r="I84" s="41" t="s">
        <v>167</v>
      </c>
      <c r="J84" s="41" t="s">
        <v>171</v>
      </c>
      <c r="K84" s="41" t="s">
        <v>178</v>
      </c>
      <c r="L84" s="44" t="s">
        <v>161</v>
      </c>
      <c r="M84" s="45">
        <v>43964</v>
      </c>
      <c r="N84" s="46" t="s">
        <v>140</v>
      </c>
      <c r="O84" s="46" t="s">
        <v>81</v>
      </c>
    </row>
    <row r="85" spans="1:15" s="1" customFormat="1" ht="15.75" thickBot="1" x14ac:dyDescent="0.3">
      <c r="A85" s="41" t="s">
        <v>568</v>
      </c>
      <c r="B85" s="47" t="s">
        <v>173</v>
      </c>
      <c r="C85" s="41" t="s">
        <v>174</v>
      </c>
      <c r="D85" s="41" t="s">
        <v>155</v>
      </c>
      <c r="E85" s="41" t="s">
        <v>20</v>
      </c>
      <c r="F85" s="48" t="s">
        <v>162</v>
      </c>
      <c r="G85" s="48"/>
      <c r="H85" s="48" t="s">
        <v>169</v>
      </c>
      <c r="I85" s="41" t="s">
        <v>170</v>
      </c>
      <c r="J85" s="41" t="s">
        <v>171</v>
      </c>
      <c r="K85" s="41" t="s">
        <v>179</v>
      </c>
      <c r="L85" s="44" t="s">
        <v>161</v>
      </c>
      <c r="M85" s="45">
        <v>43964</v>
      </c>
      <c r="N85" s="46" t="s">
        <v>140</v>
      </c>
      <c r="O85" s="46" t="s">
        <v>81</v>
      </c>
    </row>
    <row r="86" spans="1:15" s="1" customFormat="1" ht="15.75" thickBot="1" x14ac:dyDescent="0.3">
      <c r="A86" s="41" t="s">
        <v>569</v>
      </c>
      <c r="B86" s="47" t="s">
        <v>180</v>
      </c>
      <c r="C86" s="41" t="s">
        <v>174</v>
      </c>
      <c r="D86" s="41" t="s">
        <v>155</v>
      </c>
      <c r="E86" s="41" t="s">
        <v>20</v>
      </c>
      <c r="F86" s="48" t="s">
        <v>162</v>
      </c>
      <c r="G86" s="48"/>
      <c r="H86" s="48" t="s">
        <v>169</v>
      </c>
      <c r="I86" s="41" t="s">
        <v>175</v>
      </c>
      <c r="J86" s="41" t="s">
        <v>171</v>
      </c>
      <c r="K86" s="41" t="s">
        <v>176</v>
      </c>
      <c r="L86" s="44" t="s">
        <v>161</v>
      </c>
      <c r="M86" s="45">
        <v>43964</v>
      </c>
      <c r="N86" s="46" t="s">
        <v>140</v>
      </c>
      <c r="O86" s="46" t="s">
        <v>81</v>
      </c>
    </row>
    <row r="87" spans="1:15" s="1" customFormat="1" ht="15.75" thickBot="1" x14ac:dyDescent="0.3">
      <c r="A87" s="41" t="s">
        <v>570</v>
      </c>
      <c r="B87" s="47" t="s">
        <v>180</v>
      </c>
      <c r="C87" s="41" t="s">
        <v>174</v>
      </c>
      <c r="D87" s="41" t="s">
        <v>155</v>
      </c>
      <c r="E87" s="41" t="s">
        <v>29</v>
      </c>
      <c r="F87" s="48" t="s">
        <v>162</v>
      </c>
      <c r="G87" s="48"/>
      <c r="H87" s="48" t="s">
        <v>163</v>
      </c>
      <c r="I87" s="41" t="s">
        <v>164</v>
      </c>
      <c r="J87" s="41" t="s">
        <v>171</v>
      </c>
      <c r="K87" s="41" t="s">
        <v>177</v>
      </c>
      <c r="L87" s="44" t="s">
        <v>161</v>
      </c>
      <c r="M87" s="45">
        <v>43964</v>
      </c>
      <c r="N87" s="46" t="s">
        <v>140</v>
      </c>
      <c r="O87" s="46" t="s">
        <v>81</v>
      </c>
    </row>
    <row r="88" spans="1:15" s="1" customFormat="1" ht="15.75" thickBot="1" x14ac:dyDescent="0.3">
      <c r="A88" s="41" t="s">
        <v>571</v>
      </c>
      <c r="B88" s="47" t="s">
        <v>180</v>
      </c>
      <c r="C88" s="41" t="s">
        <v>174</v>
      </c>
      <c r="D88" s="41" t="s">
        <v>155</v>
      </c>
      <c r="E88" s="41" t="s">
        <v>33</v>
      </c>
      <c r="F88" s="48" t="s">
        <v>162</v>
      </c>
      <c r="G88" s="48"/>
      <c r="H88" s="48" t="s">
        <v>166</v>
      </c>
      <c r="I88" s="41" t="s">
        <v>167</v>
      </c>
      <c r="J88" s="41" t="s">
        <v>171</v>
      </c>
      <c r="K88" s="41" t="s">
        <v>178</v>
      </c>
      <c r="L88" s="44" t="s">
        <v>161</v>
      </c>
      <c r="M88" s="45">
        <v>43964</v>
      </c>
      <c r="N88" s="46" t="s">
        <v>140</v>
      </c>
      <c r="O88" s="46" t="s">
        <v>81</v>
      </c>
    </row>
    <row r="89" spans="1:15" s="1" customFormat="1" ht="15.75" thickBot="1" x14ac:dyDescent="0.3">
      <c r="A89" s="41" t="s">
        <v>572</v>
      </c>
      <c r="B89" s="47" t="s">
        <v>180</v>
      </c>
      <c r="C89" s="41" t="s">
        <v>174</v>
      </c>
      <c r="D89" s="41" t="s">
        <v>155</v>
      </c>
      <c r="E89" s="41" t="s">
        <v>20</v>
      </c>
      <c r="F89" s="48" t="s">
        <v>162</v>
      </c>
      <c r="G89" s="48"/>
      <c r="H89" s="48" t="s">
        <v>169</v>
      </c>
      <c r="I89" s="41" t="s">
        <v>170</v>
      </c>
      <c r="J89" s="41" t="s">
        <v>171</v>
      </c>
      <c r="K89" s="41" t="s">
        <v>179</v>
      </c>
      <c r="L89" s="44" t="s">
        <v>161</v>
      </c>
      <c r="M89" s="45">
        <v>43964</v>
      </c>
      <c r="N89" s="46" t="s">
        <v>140</v>
      </c>
      <c r="O89" s="46" t="s">
        <v>81</v>
      </c>
    </row>
    <row r="90" spans="1:15" s="1" customFormat="1" ht="15.75" thickBot="1" x14ac:dyDescent="0.3">
      <c r="A90" s="41" t="s">
        <v>573</v>
      </c>
      <c r="B90" s="47" t="s">
        <v>181</v>
      </c>
      <c r="C90" s="41" t="s">
        <v>182</v>
      </c>
      <c r="D90" s="41" t="s">
        <v>155</v>
      </c>
      <c r="E90" s="41" t="s">
        <v>20</v>
      </c>
      <c r="F90" s="48" t="s">
        <v>162</v>
      </c>
      <c r="G90" s="48"/>
      <c r="H90" s="48" t="s">
        <v>169</v>
      </c>
      <c r="I90" s="41" t="s">
        <v>175</v>
      </c>
      <c r="J90" s="41" t="s">
        <v>183</v>
      </c>
      <c r="K90" s="41" t="s">
        <v>184</v>
      </c>
      <c r="L90" s="44" t="s">
        <v>161</v>
      </c>
      <c r="M90" s="45">
        <v>43964</v>
      </c>
      <c r="N90" s="46" t="s">
        <v>140</v>
      </c>
      <c r="O90" s="46" t="s">
        <v>81</v>
      </c>
    </row>
    <row r="91" spans="1:15" s="1" customFormat="1" ht="15.75" thickBot="1" x14ac:dyDescent="0.3">
      <c r="A91" s="41" t="s">
        <v>574</v>
      </c>
      <c r="B91" s="47" t="s">
        <v>181</v>
      </c>
      <c r="C91" s="41" t="s">
        <v>182</v>
      </c>
      <c r="D91" s="41" t="s">
        <v>155</v>
      </c>
      <c r="E91" s="41" t="s">
        <v>29</v>
      </c>
      <c r="F91" s="48" t="s">
        <v>162</v>
      </c>
      <c r="G91" s="48"/>
      <c r="H91" s="48" t="s">
        <v>163</v>
      </c>
      <c r="I91" s="41" t="s">
        <v>164</v>
      </c>
      <c r="J91" s="41" t="s">
        <v>183</v>
      </c>
      <c r="K91" s="41" t="s">
        <v>185</v>
      </c>
      <c r="L91" s="44" t="s">
        <v>161</v>
      </c>
      <c r="M91" s="45">
        <v>43964</v>
      </c>
      <c r="N91" s="46" t="s">
        <v>140</v>
      </c>
      <c r="O91" s="46" t="s">
        <v>81</v>
      </c>
    </row>
    <row r="92" spans="1:15" s="1" customFormat="1" ht="15.75" thickBot="1" x14ac:dyDescent="0.3">
      <c r="A92" s="41" t="s">
        <v>575</v>
      </c>
      <c r="B92" s="47" t="s">
        <v>181</v>
      </c>
      <c r="C92" s="41" t="s">
        <v>182</v>
      </c>
      <c r="D92" s="41" t="s">
        <v>155</v>
      </c>
      <c r="E92" s="41" t="s">
        <v>33</v>
      </c>
      <c r="F92" s="48" t="s">
        <v>162</v>
      </c>
      <c r="G92" s="48"/>
      <c r="H92" s="48" t="s">
        <v>166</v>
      </c>
      <c r="I92" s="41" t="s">
        <v>167</v>
      </c>
      <c r="J92" s="41" t="s">
        <v>183</v>
      </c>
      <c r="K92" s="41" t="s">
        <v>186</v>
      </c>
      <c r="L92" s="44" t="s">
        <v>161</v>
      </c>
      <c r="M92" s="45">
        <v>43964</v>
      </c>
      <c r="N92" s="46" t="s">
        <v>140</v>
      </c>
      <c r="O92" s="46" t="s">
        <v>81</v>
      </c>
    </row>
    <row r="93" spans="1:15" s="1" customFormat="1" ht="15.75" thickBot="1" x14ac:dyDescent="0.3">
      <c r="A93" s="41" t="s">
        <v>576</v>
      </c>
      <c r="B93" s="47" t="s">
        <v>181</v>
      </c>
      <c r="C93" s="41" t="s">
        <v>182</v>
      </c>
      <c r="D93" s="41" t="s">
        <v>155</v>
      </c>
      <c r="E93" s="41" t="s">
        <v>20</v>
      </c>
      <c r="F93" s="48" t="s">
        <v>162</v>
      </c>
      <c r="G93" s="48"/>
      <c r="H93" s="48" t="s">
        <v>169</v>
      </c>
      <c r="I93" s="41" t="s">
        <v>170</v>
      </c>
      <c r="J93" s="41" t="s">
        <v>183</v>
      </c>
      <c r="K93" s="41" t="s">
        <v>187</v>
      </c>
      <c r="L93" s="44" t="s">
        <v>161</v>
      </c>
      <c r="M93" s="45">
        <v>43964</v>
      </c>
      <c r="N93" s="46" t="s">
        <v>140</v>
      </c>
      <c r="O93" s="46" t="s">
        <v>81</v>
      </c>
    </row>
    <row r="94" spans="1:15" s="1" customFormat="1" ht="15.75" thickBot="1" x14ac:dyDescent="0.3">
      <c r="A94" s="41" t="s">
        <v>577</v>
      </c>
      <c r="B94" s="47" t="s">
        <v>188</v>
      </c>
      <c r="C94" s="41" t="s">
        <v>182</v>
      </c>
      <c r="D94" s="41" t="s">
        <v>155</v>
      </c>
      <c r="E94" s="41" t="s">
        <v>20</v>
      </c>
      <c r="F94" s="48" t="s">
        <v>162</v>
      </c>
      <c r="G94" s="48"/>
      <c r="H94" s="48" t="s">
        <v>169</v>
      </c>
      <c r="I94" s="41" t="s">
        <v>175</v>
      </c>
      <c r="J94" s="41" t="s">
        <v>183</v>
      </c>
      <c r="K94" s="41" t="s">
        <v>184</v>
      </c>
      <c r="L94" s="44" t="s">
        <v>161</v>
      </c>
      <c r="M94" s="45">
        <v>43964</v>
      </c>
      <c r="N94" s="46" t="s">
        <v>140</v>
      </c>
      <c r="O94" s="46" t="s">
        <v>81</v>
      </c>
    </row>
    <row r="95" spans="1:15" s="1" customFormat="1" ht="15.75" thickBot="1" x14ac:dyDescent="0.3">
      <c r="A95" s="41" t="s">
        <v>578</v>
      </c>
      <c r="B95" s="47" t="s">
        <v>188</v>
      </c>
      <c r="C95" s="41" t="s">
        <v>182</v>
      </c>
      <c r="D95" s="41" t="s">
        <v>155</v>
      </c>
      <c r="E95" s="41" t="s">
        <v>29</v>
      </c>
      <c r="F95" s="48" t="s">
        <v>162</v>
      </c>
      <c r="G95" s="48"/>
      <c r="H95" s="48" t="s">
        <v>163</v>
      </c>
      <c r="I95" s="41" t="s">
        <v>164</v>
      </c>
      <c r="J95" s="41" t="s">
        <v>183</v>
      </c>
      <c r="K95" s="41" t="s">
        <v>185</v>
      </c>
      <c r="L95" s="44" t="s">
        <v>161</v>
      </c>
      <c r="M95" s="45">
        <v>43964</v>
      </c>
      <c r="N95" s="46" t="s">
        <v>140</v>
      </c>
      <c r="O95" s="46" t="s">
        <v>81</v>
      </c>
    </row>
    <row r="96" spans="1:15" s="1" customFormat="1" ht="15.75" thickBot="1" x14ac:dyDescent="0.3">
      <c r="A96" s="41" t="s">
        <v>579</v>
      </c>
      <c r="B96" s="47" t="s">
        <v>188</v>
      </c>
      <c r="C96" s="41" t="s">
        <v>182</v>
      </c>
      <c r="D96" s="41" t="s">
        <v>155</v>
      </c>
      <c r="E96" s="41" t="s">
        <v>33</v>
      </c>
      <c r="F96" s="48" t="s">
        <v>162</v>
      </c>
      <c r="G96" s="48"/>
      <c r="H96" s="48" t="s">
        <v>166</v>
      </c>
      <c r="I96" s="41" t="s">
        <v>167</v>
      </c>
      <c r="J96" s="41" t="s">
        <v>183</v>
      </c>
      <c r="K96" s="41" t="s">
        <v>186</v>
      </c>
      <c r="L96" s="44" t="s">
        <v>161</v>
      </c>
      <c r="M96" s="45">
        <v>43964</v>
      </c>
      <c r="N96" s="46" t="s">
        <v>140</v>
      </c>
      <c r="O96" s="46" t="s">
        <v>81</v>
      </c>
    </row>
    <row r="97" spans="1:15" s="1" customFormat="1" ht="15.75" thickBot="1" x14ac:dyDescent="0.3">
      <c r="A97" s="41" t="s">
        <v>580</v>
      </c>
      <c r="B97" s="47" t="s">
        <v>188</v>
      </c>
      <c r="C97" s="41" t="s">
        <v>182</v>
      </c>
      <c r="D97" s="41" t="s">
        <v>155</v>
      </c>
      <c r="E97" s="41" t="s">
        <v>20</v>
      </c>
      <c r="F97" s="48" t="s">
        <v>162</v>
      </c>
      <c r="G97" s="48"/>
      <c r="H97" s="48" t="s">
        <v>169</v>
      </c>
      <c r="I97" s="41" t="s">
        <v>170</v>
      </c>
      <c r="J97" s="41" t="s">
        <v>183</v>
      </c>
      <c r="K97" s="41" t="s">
        <v>187</v>
      </c>
      <c r="L97" s="44" t="s">
        <v>161</v>
      </c>
      <c r="M97" s="45">
        <v>43964</v>
      </c>
      <c r="N97" s="46" t="s">
        <v>140</v>
      </c>
      <c r="O97" s="46" t="s">
        <v>81</v>
      </c>
    </row>
    <row r="98" spans="1:15" s="1" customFormat="1" ht="15.75" thickBot="1" x14ac:dyDescent="0.3">
      <c r="A98" s="41" t="s">
        <v>581</v>
      </c>
      <c r="B98" s="47" t="s">
        <v>189</v>
      </c>
      <c r="C98" s="41" t="s">
        <v>190</v>
      </c>
      <c r="D98" s="41" t="s">
        <v>191</v>
      </c>
      <c r="E98" s="41" t="s">
        <v>20</v>
      </c>
      <c r="F98" s="48" t="s">
        <v>192</v>
      </c>
      <c r="G98" s="48"/>
      <c r="H98" s="48" t="s">
        <v>193</v>
      </c>
      <c r="I98" s="41" t="s">
        <v>175</v>
      </c>
      <c r="J98" s="41" t="s">
        <v>171</v>
      </c>
      <c r="K98" s="41" t="s">
        <v>176</v>
      </c>
      <c r="L98" s="44" t="s">
        <v>161</v>
      </c>
      <c r="M98" s="45">
        <v>43966</v>
      </c>
      <c r="N98" s="46" t="s">
        <v>140</v>
      </c>
      <c r="O98" s="46" t="s">
        <v>81</v>
      </c>
    </row>
    <row r="99" spans="1:15" s="1" customFormat="1" ht="15.75" thickBot="1" x14ac:dyDescent="0.3">
      <c r="A99" s="41" t="s">
        <v>582</v>
      </c>
      <c r="B99" s="47" t="s">
        <v>189</v>
      </c>
      <c r="C99" s="41" t="s">
        <v>190</v>
      </c>
      <c r="D99" s="41" t="s">
        <v>191</v>
      </c>
      <c r="E99" s="41" t="s">
        <v>29</v>
      </c>
      <c r="F99" s="48" t="s">
        <v>192</v>
      </c>
      <c r="G99" s="48"/>
      <c r="H99" s="48" t="s">
        <v>194</v>
      </c>
      <c r="I99" s="41" t="s">
        <v>164</v>
      </c>
      <c r="J99" s="41" t="s">
        <v>171</v>
      </c>
      <c r="K99" s="41" t="s">
        <v>177</v>
      </c>
      <c r="L99" s="44" t="s">
        <v>161</v>
      </c>
      <c r="M99" s="45">
        <v>43966</v>
      </c>
      <c r="N99" s="46" t="s">
        <v>140</v>
      </c>
      <c r="O99" s="46" t="s">
        <v>81</v>
      </c>
    </row>
    <row r="100" spans="1:15" s="1" customFormat="1" ht="15.75" thickBot="1" x14ac:dyDescent="0.3">
      <c r="A100" s="41" t="s">
        <v>583</v>
      </c>
      <c r="B100" s="47" t="s">
        <v>189</v>
      </c>
      <c r="C100" s="41" t="s">
        <v>190</v>
      </c>
      <c r="D100" s="41" t="s">
        <v>191</v>
      </c>
      <c r="E100" s="41" t="s">
        <v>33</v>
      </c>
      <c r="F100" s="48" t="s">
        <v>192</v>
      </c>
      <c r="G100" s="48"/>
      <c r="H100" s="48" t="s">
        <v>195</v>
      </c>
      <c r="I100" s="41" t="s">
        <v>167</v>
      </c>
      <c r="J100" s="41" t="s">
        <v>171</v>
      </c>
      <c r="K100" s="41" t="s">
        <v>178</v>
      </c>
      <c r="L100" s="44" t="s">
        <v>161</v>
      </c>
      <c r="M100" s="45">
        <v>43966</v>
      </c>
      <c r="N100" s="46" t="s">
        <v>140</v>
      </c>
      <c r="O100" s="46" t="s">
        <v>81</v>
      </c>
    </row>
    <row r="101" spans="1:15" s="1" customFormat="1" ht="15.75" thickBot="1" x14ac:dyDescent="0.3">
      <c r="A101" s="41" t="s">
        <v>584</v>
      </c>
      <c r="B101" s="47" t="s">
        <v>189</v>
      </c>
      <c r="C101" s="41" t="s">
        <v>190</v>
      </c>
      <c r="D101" s="41" t="s">
        <v>191</v>
      </c>
      <c r="E101" s="41" t="s">
        <v>20</v>
      </c>
      <c r="F101" s="48" t="s">
        <v>192</v>
      </c>
      <c r="G101" s="48"/>
      <c r="H101" s="48" t="s">
        <v>193</v>
      </c>
      <c r="I101" s="41" t="s">
        <v>170</v>
      </c>
      <c r="J101" s="41" t="s">
        <v>171</v>
      </c>
      <c r="K101" s="41" t="s">
        <v>179</v>
      </c>
      <c r="L101" s="44" t="s">
        <v>161</v>
      </c>
      <c r="M101" s="45">
        <v>43966</v>
      </c>
      <c r="N101" s="46" t="s">
        <v>140</v>
      </c>
      <c r="O101" s="46" t="s">
        <v>81</v>
      </c>
    </row>
    <row r="102" spans="1:15" s="1" customFormat="1" ht="15.75" thickBot="1" x14ac:dyDescent="0.3">
      <c r="A102" s="41" t="s">
        <v>585</v>
      </c>
      <c r="B102" s="47" t="s">
        <v>196</v>
      </c>
      <c r="C102" s="41" t="s">
        <v>190</v>
      </c>
      <c r="D102" s="41" t="s">
        <v>191</v>
      </c>
      <c r="E102" s="41" t="s">
        <v>20</v>
      </c>
      <c r="F102" s="48" t="s">
        <v>192</v>
      </c>
      <c r="G102" s="48"/>
      <c r="H102" s="48" t="s">
        <v>193</v>
      </c>
      <c r="I102" s="41" t="s">
        <v>175</v>
      </c>
      <c r="J102" s="41" t="s">
        <v>171</v>
      </c>
      <c r="K102" s="41" t="s">
        <v>176</v>
      </c>
      <c r="L102" s="44" t="s">
        <v>161</v>
      </c>
      <c r="M102" s="45">
        <v>43966</v>
      </c>
      <c r="N102" s="46" t="s">
        <v>140</v>
      </c>
      <c r="O102" s="46" t="s">
        <v>81</v>
      </c>
    </row>
    <row r="103" spans="1:15" s="1" customFormat="1" ht="15.75" thickBot="1" x14ac:dyDescent="0.3">
      <c r="A103" s="41" t="s">
        <v>586</v>
      </c>
      <c r="B103" s="47" t="s">
        <v>196</v>
      </c>
      <c r="C103" s="41" t="s">
        <v>190</v>
      </c>
      <c r="D103" s="41" t="s">
        <v>191</v>
      </c>
      <c r="E103" s="41" t="s">
        <v>29</v>
      </c>
      <c r="F103" s="48" t="s">
        <v>192</v>
      </c>
      <c r="G103" s="48"/>
      <c r="H103" s="48" t="s">
        <v>194</v>
      </c>
      <c r="I103" s="41" t="s">
        <v>164</v>
      </c>
      <c r="J103" s="41" t="s">
        <v>171</v>
      </c>
      <c r="K103" s="41" t="s">
        <v>177</v>
      </c>
      <c r="L103" s="44" t="s">
        <v>161</v>
      </c>
      <c r="M103" s="45">
        <v>43966</v>
      </c>
      <c r="N103" s="46" t="s">
        <v>140</v>
      </c>
      <c r="O103" s="46" t="s">
        <v>81</v>
      </c>
    </row>
    <row r="104" spans="1:15" s="1" customFormat="1" ht="15.75" thickBot="1" x14ac:dyDescent="0.3">
      <c r="A104" s="41" t="s">
        <v>587</v>
      </c>
      <c r="B104" s="47" t="s">
        <v>196</v>
      </c>
      <c r="C104" s="41" t="s">
        <v>190</v>
      </c>
      <c r="D104" s="41" t="s">
        <v>191</v>
      </c>
      <c r="E104" s="41" t="s">
        <v>33</v>
      </c>
      <c r="F104" s="48" t="s">
        <v>192</v>
      </c>
      <c r="G104" s="48"/>
      <c r="H104" s="48" t="s">
        <v>195</v>
      </c>
      <c r="I104" s="41" t="s">
        <v>167</v>
      </c>
      <c r="J104" s="41" t="s">
        <v>171</v>
      </c>
      <c r="K104" s="41" t="s">
        <v>178</v>
      </c>
      <c r="L104" s="44" t="s">
        <v>161</v>
      </c>
      <c r="M104" s="45">
        <v>43966</v>
      </c>
      <c r="N104" s="46" t="s">
        <v>140</v>
      </c>
      <c r="O104" s="46" t="s">
        <v>81</v>
      </c>
    </row>
    <row r="105" spans="1:15" s="1" customFormat="1" ht="15.75" thickBot="1" x14ac:dyDescent="0.3">
      <c r="A105" s="41" t="s">
        <v>588</v>
      </c>
      <c r="B105" s="47" t="s">
        <v>196</v>
      </c>
      <c r="C105" s="41" t="s">
        <v>190</v>
      </c>
      <c r="D105" s="41" t="s">
        <v>191</v>
      </c>
      <c r="E105" s="41" t="s">
        <v>20</v>
      </c>
      <c r="F105" s="48" t="s">
        <v>192</v>
      </c>
      <c r="G105" s="48"/>
      <c r="H105" s="48" t="s">
        <v>193</v>
      </c>
      <c r="I105" s="41" t="s">
        <v>170</v>
      </c>
      <c r="J105" s="41" t="s">
        <v>171</v>
      </c>
      <c r="K105" s="41" t="s">
        <v>179</v>
      </c>
      <c r="L105" s="44" t="s">
        <v>161</v>
      </c>
      <c r="M105" s="45">
        <v>43966</v>
      </c>
      <c r="N105" s="46" t="s">
        <v>140</v>
      </c>
      <c r="O105" s="46" t="s">
        <v>81</v>
      </c>
    </row>
    <row r="106" spans="1:15" s="1" customFormat="1" ht="15.75" thickBot="1" x14ac:dyDescent="0.3">
      <c r="A106" s="41" t="s">
        <v>589</v>
      </c>
      <c r="B106" s="47" t="s">
        <v>197</v>
      </c>
      <c r="C106" s="41" t="s">
        <v>198</v>
      </c>
      <c r="D106" s="41" t="s">
        <v>191</v>
      </c>
      <c r="E106" s="41" t="s">
        <v>20</v>
      </c>
      <c r="F106" s="48" t="s">
        <v>192</v>
      </c>
      <c r="G106" s="48"/>
      <c r="H106" s="48" t="s">
        <v>193</v>
      </c>
      <c r="I106" s="41" t="s">
        <v>175</v>
      </c>
      <c r="J106" s="41" t="s">
        <v>171</v>
      </c>
      <c r="K106" s="41" t="s">
        <v>176</v>
      </c>
      <c r="L106" s="44" t="s">
        <v>161</v>
      </c>
      <c r="M106" s="45">
        <v>43966</v>
      </c>
      <c r="N106" s="46" t="s">
        <v>140</v>
      </c>
      <c r="O106" s="46" t="s">
        <v>81</v>
      </c>
    </row>
    <row r="107" spans="1:15" s="1" customFormat="1" ht="15.75" thickBot="1" x14ac:dyDescent="0.3">
      <c r="A107" s="41" t="s">
        <v>590</v>
      </c>
      <c r="B107" s="47" t="s">
        <v>197</v>
      </c>
      <c r="C107" s="41" t="s">
        <v>198</v>
      </c>
      <c r="D107" s="41" t="s">
        <v>191</v>
      </c>
      <c r="E107" s="41" t="s">
        <v>29</v>
      </c>
      <c r="F107" s="48" t="s">
        <v>192</v>
      </c>
      <c r="G107" s="48"/>
      <c r="H107" s="48" t="s">
        <v>194</v>
      </c>
      <c r="I107" s="41" t="s">
        <v>164</v>
      </c>
      <c r="J107" s="41" t="s">
        <v>171</v>
      </c>
      <c r="K107" s="41" t="s">
        <v>177</v>
      </c>
      <c r="L107" s="44" t="s">
        <v>161</v>
      </c>
      <c r="M107" s="45">
        <v>43966</v>
      </c>
      <c r="N107" s="46" t="s">
        <v>140</v>
      </c>
      <c r="O107" s="46" t="s">
        <v>81</v>
      </c>
    </row>
    <row r="108" spans="1:15" s="1" customFormat="1" ht="15.75" thickBot="1" x14ac:dyDescent="0.3">
      <c r="A108" s="41" t="s">
        <v>591</v>
      </c>
      <c r="B108" s="47" t="s">
        <v>197</v>
      </c>
      <c r="C108" s="41" t="s">
        <v>198</v>
      </c>
      <c r="D108" s="41" t="s">
        <v>191</v>
      </c>
      <c r="E108" s="41" t="s">
        <v>33</v>
      </c>
      <c r="F108" s="48" t="s">
        <v>192</v>
      </c>
      <c r="G108" s="48"/>
      <c r="H108" s="48" t="s">
        <v>195</v>
      </c>
      <c r="I108" s="41" t="s">
        <v>167</v>
      </c>
      <c r="J108" s="41" t="s">
        <v>171</v>
      </c>
      <c r="K108" s="41" t="s">
        <v>178</v>
      </c>
      <c r="L108" s="44" t="s">
        <v>161</v>
      </c>
      <c r="M108" s="45">
        <v>43966</v>
      </c>
      <c r="N108" s="46" t="s">
        <v>140</v>
      </c>
      <c r="O108" s="46" t="s">
        <v>81</v>
      </c>
    </row>
    <row r="109" spans="1:15" s="1" customFormat="1" ht="15.75" thickBot="1" x14ac:dyDescent="0.3">
      <c r="A109" s="41" t="s">
        <v>592</v>
      </c>
      <c r="B109" s="47" t="s">
        <v>197</v>
      </c>
      <c r="C109" s="41" t="s">
        <v>198</v>
      </c>
      <c r="D109" s="41" t="s">
        <v>191</v>
      </c>
      <c r="E109" s="41" t="s">
        <v>20</v>
      </c>
      <c r="F109" s="48" t="s">
        <v>192</v>
      </c>
      <c r="G109" s="48"/>
      <c r="H109" s="48" t="s">
        <v>193</v>
      </c>
      <c r="I109" s="41" t="s">
        <v>170</v>
      </c>
      <c r="J109" s="41" t="s">
        <v>171</v>
      </c>
      <c r="K109" s="41" t="s">
        <v>179</v>
      </c>
      <c r="L109" s="44" t="s">
        <v>161</v>
      </c>
      <c r="M109" s="45">
        <v>43966</v>
      </c>
      <c r="N109" s="46" t="s">
        <v>140</v>
      </c>
      <c r="O109" s="46" t="s">
        <v>81</v>
      </c>
    </row>
    <row r="110" spans="1:15" s="1" customFormat="1" ht="15.75" thickBot="1" x14ac:dyDescent="0.3">
      <c r="A110" s="41" t="s">
        <v>593</v>
      </c>
      <c r="B110" s="47" t="s">
        <v>199</v>
      </c>
      <c r="C110" s="41" t="s">
        <v>198</v>
      </c>
      <c r="D110" s="41" t="s">
        <v>191</v>
      </c>
      <c r="E110" s="41" t="s">
        <v>20</v>
      </c>
      <c r="F110" s="48" t="s">
        <v>192</v>
      </c>
      <c r="G110" s="48"/>
      <c r="H110" s="48" t="s">
        <v>193</v>
      </c>
      <c r="I110" s="41" t="s">
        <v>175</v>
      </c>
      <c r="J110" s="41" t="s">
        <v>171</v>
      </c>
      <c r="K110" s="41" t="s">
        <v>176</v>
      </c>
      <c r="L110" s="44" t="s">
        <v>161</v>
      </c>
      <c r="M110" s="45">
        <v>43966</v>
      </c>
      <c r="N110" s="46" t="s">
        <v>140</v>
      </c>
      <c r="O110" s="46" t="s">
        <v>81</v>
      </c>
    </row>
    <row r="111" spans="1:15" s="1" customFormat="1" ht="15.75" thickBot="1" x14ac:dyDescent="0.3">
      <c r="A111" s="41" t="s">
        <v>594</v>
      </c>
      <c r="B111" s="47" t="s">
        <v>199</v>
      </c>
      <c r="C111" s="41" t="s">
        <v>198</v>
      </c>
      <c r="D111" s="41" t="s">
        <v>191</v>
      </c>
      <c r="E111" s="41" t="s">
        <v>29</v>
      </c>
      <c r="F111" s="48" t="s">
        <v>192</v>
      </c>
      <c r="G111" s="48"/>
      <c r="H111" s="48" t="s">
        <v>194</v>
      </c>
      <c r="I111" s="41" t="s">
        <v>164</v>
      </c>
      <c r="J111" s="41" t="s">
        <v>171</v>
      </c>
      <c r="K111" s="41" t="s">
        <v>177</v>
      </c>
      <c r="L111" s="44" t="s">
        <v>161</v>
      </c>
      <c r="M111" s="45">
        <v>43966</v>
      </c>
      <c r="N111" s="46" t="s">
        <v>140</v>
      </c>
      <c r="O111" s="46" t="s">
        <v>81</v>
      </c>
    </row>
    <row r="112" spans="1:15" s="1" customFormat="1" ht="15.75" thickBot="1" x14ac:dyDescent="0.3">
      <c r="A112" s="41" t="s">
        <v>595</v>
      </c>
      <c r="B112" s="47" t="s">
        <v>199</v>
      </c>
      <c r="C112" s="41" t="s">
        <v>198</v>
      </c>
      <c r="D112" s="41" t="s">
        <v>191</v>
      </c>
      <c r="E112" s="41" t="s">
        <v>33</v>
      </c>
      <c r="F112" s="48" t="s">
        <v>192</v>
      </c>
      <c r="G112" s="48"/>
      <c r="H112" s="48" t="s">
        <v>195</v>
      </c>
      <c r="I112" s="41" t="s">
        <v>167</v>
      </c>
      <c r="J112" s="41" t="s">
        <v>171</v>
      </c>
      <c r="K112" s="41" t="s">
        <v>178</v>
      </c>
      <c r="L112" s="44" t="s">
        <v>161</v>
      </c>
      <c r="M112" s="45">
        <v>43966</v>
      </c>
      <c r="N112" s="46" t="s">
        <v>140</v>
      </c>
      <c r="O112" s="46" t="s">
        <v>81</v>
      </c>
    </row>
    <row r="113" spans="1:15" s="1" customFormat="1" ht="15.75" thickBot="1" x14ac:dyDescent="0.3">
      <c r="A113" s="41" t="s">
        <v>596</v>
      </c>
      <c r="B113" s="47" t="s">
        <v>199</v>
      </c>
      <c r="C113" s="41" t="s">
        <v>198</v>
      </c>
      <c r="D113" s="41" t="s">
        <v>191</v>
      </c>
      <c r="E113" s="41" t="s">
        <v>20</v>
      </c>
      <c r="F113" s="48" t="s">
        <v>192</v>
      </c>
      <c r="G113" s="48"/>
      <c r="H113" s="48" t="s">
        <v>193</v>
      </c>
      <c r="I113" s="41" t="s">
        <v>170</v>
      </c>
      <c r="J113" s="41" t="s">
        <v>171</v>
      </c>
      <c r="K113" s="41" t="s">
        <v>179</v>
      </c>
      <c r="L113" s="44" t="s">
        <v>161</v>
      </c>
      <c r="M113" s="45">
        <v>43966</v>
      </c>
      <c r="N113" s="46" t="s">
        <v>140</v>
      </c>
      <c r="O113" s="46" t="s">
        <v>81</v>
      </c>
    </row>
    <row r="114" spans="1:15" s="1" customFormat="1" ht="15.75" thickBot="1" x14ac:dyDescent="0.3">
      <c r="A114" s="41" t="s">
        <v>597</v>
      </c>
      <c r="B114" s="47" t="s">
        <v>200</v>
      </c>
      <c r="C114" s="41" t="s">
        <v>201</v>
      </c>
      <c r="D114" s="41" t="s">
        <v>202</v>
      </c>
      <c r="E114" s="41" t="s">
        <v>20</v>
      </c>
      <c r="F114" s="48" t="s">
        <v>203</v>
      </c>
      <c r="G114" s="48"/>
      <c r="H114" s="48" t="s">
        <v>204</v>
      </c>
      <c r="I114" s="41" t="s">
        <v>175</v>
      </c>
      <c r="J114" s="41" t="s">
        <v>205</v>
      </c>
      <c r="K114" s="41" t="s">
        <v>176</v>
      </c>
      <c r="L114" s="44" t="s">
        <v>206</v>
      </c>
      <c r="M114" s="45">
        <v>43908</v>
      </c>
      <c r="N114" s="46" t="s">
        <v>140</v>
      </c>
      <c r="O114" s="46" t="s">
        <v>81</v>
      </c>
    </row>
    <row r="115" spans="1:15" s="1" customFormat="1" ht="15.75" thickBot="1" x14ac:dyDescent="0.3">
      <c r="A115" s="41" t="s">
        <v>598</v>
      </c>
      <c r="B115" s="47" t="s">
        <v>200</v>
      </c>
      <c r="C115" s="41" t="s">
        <v>201</v>
      </c>
      <c r="D115" s="41" t="s">
        <v>202</v>
      </c>
      <c r="E115" s="41" t="s">
        <v>29</v>
      </c>
      <c r="F115" s="48" t="s">
        <v>203</v>
      </c>
      <c r="G115" s="48"/>
      <c r="H115" s="48" t="s">
        <v>207</v>
      </c>
      <c r="I115" s="41" t="s">
        <v>164</v>
      </c>
      <c r="J115" s="41" t="s">
        <v>205</v>
      </c>
      <c r="K115" s="41" t="s">
        <v>177</v>
      </c>
      <c r="L115" s="44" t="s">
        <v>206</v>
      </c>
      <c r="M115" s="45">
        <v>43908</v>
      </c>
      <c r="N115" s="46" t="s">
        <v>140</v>
      </c>
      <c r="O115" s="46" t="s">
        <v>81</v>
      </c>
    </row>
    <row r="116" spans="1:15" s="1" customFormat="1" ht="15.75" thickBot="1" x14ac:dyDescent="0.3">
      <c r="A116" s="41" t="s">
        <v>599</v>
      </c>
      <c r="B116" s="47" t="s">
        <v>200</v>
      </c>
      <c r="C116" s="41" t="s">
        <v>201</v>
      </c>
      <c r="D116" s="41" t="s">
        <v>202</v>
      </c>
      <c r="E116" s="41" t="s">
        <v>33</v>
      </c>
      <c r="F116" s="48" t="s">
        <v>203</v>
      </c>
      <c r="G116" s="48"/>
      <c r="H116" s="48" t="s">
        <v>208</v>
      </c>
      <c r="I116" s="41" t="s">
        <v>167</v>
      </c>
      <c r="J116" s="41" t="s">
        <v>205</v>
      </c>
      <c r="K116" s="41" t="s">
        <v>178</v>
      </c>
      <c r="L116" s="44" t="s">
        <v>206</v>
      </c>
      <c r="M116" s="45">
        <v>43908</v>
      </c>
      <c r="N116" s="46" t="s">
        <v>140</v>
      </c>
      <c r="O116" s="46" t="s">
        <v>81</v>
      </c>
    </row>
    <row r="117" spans="1:15" s="1" customFormat="1" ht="15.75" thickBot="1" x14ac:dyDescent="0.3">
      <c r="A117" s="41" t="s">
        <v>600</v>
      </c>
      <c r="B117" s="47" t="s">
        <v>200</v>
      </c>
      <c r="C117" s="41" t="s">
        <v>201</v>
      </c>
      <c r="D117" s="41" t="s">
        <v>202</v>
      </c>
      <c r="E117" s="41" t="s">
        <v>20</v>
      </c>
      <c r="F117" s="48" t="s">
        <v>203</v>
      </c>
      <c r="G117" s="48"/>
      <c r="H117" s="48" t="s">
        <v>204</v>
      </c>
      <c r="I117" s="41" t="s">
        <v>170</v>
      </c>
      <c r="J117" s="41" t="s">
        <v>205</v>
      </c>
      <c r="K117" s="41" t="s">
        <v>179</v>
      </c>
      <c r="L117" s="44" t="s">
        <v>206</v>
      </c>
      <c r="M117" s="45">
        <v>43908</v>
      </c>
      <c r="N117" s="46" t="s">
        <v>140</v>
      </c>
      <c r="O117" s="46" t="s">
        <v>81</v>
      </c>
    </row>
    <row r="118" spans="1:15" s="1" customFormat="1" ht="15.75" thickBot="1" x14ac:dyDescent="0.3">
      <c r="A118" s="41" t="s">
        <v>601</v>
      </c>
      <c r="B118" s="41" t="s">
        <v>209</v>
      </c>
      <c r="C118" s="41" t="s">
        <v>210</v>
      </c>
      <c r="D118" s="41" t="s">
        <v>211</v>
      </c>
      <c r="E118" s="41" t="s">
        <v>29</v>
      </c>
      <c r="F118" s="42" t="s">
        <v>212</v>
      </c>
      <c r="G118" s="42"/>
      <c r="H118" s="42" t="s">
        <v>213</v>
      </c>
      <c r="I118" s="42" t="s">
        <v>170</v>
      </c>
      <c r="J118" s="42" t="s">
        <v>214</v>
      </c>
      <c r="K118" s="41" t="s">
        <v>172</v>
      </c>
      <c r="L118" s="44" t="s">
        <v>215</v>
      </c>
      <c r="M118" s="45">
        <v>43836</v>
      </c>
      <c r="N118" s="46" t="s">
        <v>140</v>
      </c>
      <c r="O118" s="46" t="s">
        <v>81</v>
      </c>
    </row>
    <row r="119" spans="1:15" s="1" customFormat="1" ht="15.75" thickBot="1" x14ac:dyDescent="0.3">
      <c r="A119" s="41" t="s">
        <v>602</v>
      </c>
      <c r="B119" s="41" t="s">
        <v>209</v>
      </c>
      <c r="C119" s="41" t="s">
        <v>210</v>
      </c>
      <c r="D119" s="41" t="s">
        <v>211</v>
      </c>
      <c r="E119" s="41" t="s">
        <v>29</v>
      </c>
      <c r="F119" s="42" t="s">
        <v>212</v>
      </c>
      <c r="G119" s="42"/>
      <c r="H119" s="42" t="s">
        <v>216</v>
      </c>
      <c r="I119" s="42" t="s">
        <v>164</v>
      </c>
      <c r="J119" s="42" t="s">
        <v>214</v>
      </c>
      <c r="K119" s="41" t="s">
        <v>165</v>
      </c>
      <c r="L119" s="44" t="s">
        <v>215</v>
      </c>
      <c r="M119" s="45">
        <v>43836</v>
      </c>
      <c r="N119" s="46" t="s">
        <v>140</v>
      </c>
      <c r="O119" s="46" t="s">
        <v>81</v>
      </c>
    </row>
    <row r="120" spans="1:15" s="1" customFormat="1" ht="15.75" thickBot="1" x14ac:dyDescent="0.3">
      <c r="A120" s="41" t="s">
        <v>603</v>
      </c>
      <c r="B120" s="41" t="s">
        <v>209</v>
      </c>
      <c r="C120" s="41" t="s">
        <v>210</v>
      </c>
      <c r="D120" s="41" t="s">
        <v>211</v>
      </c>
      <c r="E120" s="41" t="s">
        <v>29</v>
      </c>
      <c r="F120" s="42" t="s">
        <v>212</v>
      </c>
      <c r="G120" s="42"/>
      <c r="H120" s="42" t="s">
        <v>217</v>
      </c>
      <c r="I120" s="42" t="s">
        <v>158</v>
      </c>
      <c r="J120" s="42" t="s">
        <v>214</v>
      </c>
      <c r="K120" s="41" t="s">
        <v>160</v>
      </c>
      <c r="L120" s="44" t="s">
        <v>215</v>
      </c>
      <c r="M120" s="45">
        <v>43836</v>
      </c>
      <c r="N120" s="46" t="s">
        <v>140</v>
      </c>
      <c r="O120" s="46" t="s">
        <v>81</v>
      </c>
    </row>
    <row r="121" spans="1:15" s="1" customFormat="1" ht="15.75" thickBot="1" x14ac:dyDescent="0.3">
      <c r="A121" s="41" t="s">
        <v>604</v>
      </c>
      <c r="B121" s="41" t="s">
        <v>209</v>
      </c>
      <c r="C121" s="41" t="s">
        <v>210</v>
      </c>
      <c r="D121" s="41" t="s">
        <v>211</v>
      </c>
      <c r="E121" s="41" t="s">
        <v>33</v>
      </c>
      <c r="F121" s="42" t="s">
        <v>212</v>
      </c>
      <c r="G121" s="42"/>
      <c r="H121" s="42" t="s">
        <v>218</v>
      </c>
      <c r="I121" s="42" t="s">
        <v>167</v>
      </c>
      <c r="J121" s="42" t="s">
        <v>214</v>
      </c>
      <c r="K121" s="41" t="s">
        <v>168</v>
      </c>
      <c r="L121" s="44" t="s">
        <v>215</v>
      </c>
      <c r="M121" s="45">
        <v>43836</v>
      </c>
      <c r="N121" s="46" t="s">
        <v>140</v>
      </c>
      <c r="O121" s="46" t="s">
        <v>81</v>
      </c>
    </row>
    <row r="122" spans="1:15" s="1" customFormat="1" ht="15.75" thickBot="1" x14ac:dyDescent="0.3">
      <c r="A122" s="41" t="s">
        <v>605</v>
      </c>
      <c r="B122" s="41" t="s">
        <v>209</v>
      </c>
      <c r="C122" s="41" t="s">
        <v>210</v>
      </c>
      <c r="D122" s="41" t="s">
        <v>211</v>
      </c>
      <c r="E122" s="41" t="s">
        <v>20</v>
      </c>
      <c r="F122" s="42" t="s">
        <v>219</v>
      </c>
      <c r="G122" s="42"/>
      <c r="H122" s="42" t="s">
        <v>220</v>
      </c>
      <c r="I122" s="42" t="s">
        <v>41</v>
      </c>
      <c r="J122" s="42" t="s">
        <v>221</v>
      </c>
      <c r="K122" s="41" t="s">
        <v>222</v>
      </c>
      <c r="L122" s="44" t="s">
        <v>223</v>
      </c>
      <c r="M122" s="45">
        <v>43662</v>
      </c>
      <c r="N122" s="46" t="s">
        <v>140</v>
      </c>
      <c r="O122" s="46" t="s">
        <v>81</v>
      </c>
    </row>
    <row r="123" spans="1:15" s="1" customFormat="1" ht="15.75" thickBot="1" x14ac:dyDescent="0.3">
      <c r="A123" s="41" t="s">
        <v>606</v>
      </c>
      <c r="B123" s="41" t="s">
        <v>209</v>
      </c>
      <c r="C123" s="41" t="s">
        <v>210</v>
      </c>
      <c r="D123" s="41" t="s">
        <v>211</v>
      </c>
      <c r="E123" s="41" t="s">
        <v>33</v>
      </c>
      <c r="F123" s="42" t="s">
        <v>219</v>
      </c>
      <c r="G123" s="42"/>
      <c r="H123" s="42" t="s">
        <v>220</v>
      </c>
      <c r="I123" s="42" t="s">
        <v>37</v>
      </c>
      <c r="J123" s="42" t="s">
        <v>221</v>
      </c>
      <c r="K123" s="41" t="s">
        <v>224</v>
      </c>
      <c r="L123" s="44" t="s">
        <v>223</v>
      </c>
      <c r="M123" s="45">
        <v>43662</v>
      </c>
      <c r="N123" s="46" t="s">
        <v>140</v>
      </c>
      <c r="O123" s="46" t="s">
        <v>81</v>
      </c>
    </row>
    <row r="124" spans="1:15" s="1" customFormat="1" ht="15.75" thickBot="1" x14ac:dyDescent="0.3">
      <c r="A124" s="41" t="s">
        <v>607</v>
      </c>
      <c r="B124" s="47" t="s">
        <v>225</v>
      </c>
      <c r="C124" s="41" t="s">
        <v>226</v>
      </c>
      <c r="D124" s="41" t="s">
        <v>227</v>
      </c>
      <c r="E124" s="41" t="s">
        <v>29</v>
      </c>
      <c r="F124" s="49" t="s">
        <v>157</v>
      </c>
      <c r="G124" s="49"/>
      <c r="H124" s="48" t="s">
        <v>228</v>
      </c>
      <c r="I124" s="41" t="s">
        <v>164</v>
      </c>
      <c r="J124" s="41" t="s">
        <v>229</v>
      </c>
      <c r="K124" s="41" t="s">
        <v>185</v>
      </c>
      <c r="L124" s="44" t="s">
        <v>230</v>
      </c>
      <c r="M124" s="45">
        <v>43971</v>
      </c>
      <c r="N124" s="46" t="s">
        <v>140</v>
      </c>
      <c r="O124" s="46" t="s">
        <v>231</v>
      </c>
    </row>
    <row r="125" spans="1:15" s="1" customFormat="1" ht="15.75" thickBot="1" x14ac:dyDescent="0.3">
      <c r="A125" s="41" t="s">
        <v>608</v>
      </c>
      <c r="B125" s="47" t="s">
        <v>225</v>
      </c>
      <c r="C125" s="41" t="s">
        <v>226</v>
      </c>
      <c r="D125" s="41" t="s">
        <v>227</v>
      </c>
      <c r="E125" s="41" t="s">
        <v>33</v>
      </c>
      <c r="F125" s="48" t="s">
        <v>232</v>
      </c>
      <c r="G125" s="48"/>
      <c r="H125" s="48" t="s">
        <v>232</v>
      </c>
      <c r="I125" s="41" t="s">
        <v>167</v>
      </c>
      <c r="J125" s="41" t="s">
        <v>229</v>
      </c>
      <c r="K125" s="41" t="s">
        <v>186</v>
      </c>
      <c r="L125" s="44" t="s">
        <v>230</v>
      </c>
      <c r="M125" s="45">
        <v>43971</v>
      </c>
      <c r="N125" s="46" t="s">
        <v>140</v>
      </c>
      <c r="O125" s="46" t="s">
        <v>231</v>
      </c>
    </row>
    <row r="126" spans="1:15" s="1" customFormat="1" ht="15.75" thickBot="1" x14ac:dyDescent="0.3">
      <c r="A126" s="41" t="s">
        <v>609</v>
      </c>
      <c r="B126" s="47" t="s">
        <v>225</v>
      </c>
      <c r="C126" s="41" t="s">
        <v>226</v>
      </c>
      <c r="D126" s="41" t="s">
        <v>227</v>
      </c>
      <c r="E126" s="41" t="s">
        <v>20</v>
      </c>
      <c r="F126" s="48" t="s">
        <v>233</v>
      </c>
      <c r="G126" s="48"/>
      <c r="H126" s="48" t="s">
        <v>234</v>
      </c>
      <c r="I126" s="41" t="s">
        <v>170</v>
      </c>
      <c r="J126" s="41" t="s">
        <v>229</v>
      </c>
      <c r="K126" s="41" t="s">
        <v>187</v>
      </c>
      <c r="L126" s="44" t="s">
        <v>230</v>
      </c>
      <c r="M126" s="45">
        <v>43971</v>
      </c>
      <c r="N126" s="46" t="s">
        <v>140</v>
      </c>
      <c r="O126" s="46" t="s">
        <v>231</v>
      </c>
    </row>
    <row r="127" spans="1:15" s="1" customFormat="1" ht="15.75" thickBot="1" x14ac:dyDescent="0.3">
      <c r="A127" s="41" t="s">
        <v>610</v>
      </c>
      <c r="B127" s="47" t="s">
        <v>235</v>
      </c>
      <c r="C127" s="41" t="s">
        <v>226</v>
      </c>
      <c r="D127" s="41" t="s">
        <v>227</v>
      </c>
      <c r="E127" s="41" t="s">
        <v>29</v>
      </c>
      <c r="F127" s="49" t="s">
        <v>157</v>
      </c>
      <c r="G127" s="49"/>
      <c r="H127" s="48" t="s">
        <v>228</v>
      </c>
      <c r="I127" s="41" t="s">
        <v>164</v>
      </c>
      <c r="J127" s="41" t="s">
        <v>229</v>
      </c>
      <c r="K127" s="41" t="s">
        <v>185</v>
      </c>
      <c r="L127" s="44" t="s">
        <v>230</v>
      </c>
      <c r="M127" s="45">
        <v>43971</v>
      </c>
      <c r="N127" s="46" t="s">
        <v>140</v>
      </c>
      <c r="O127" s="46" t="s">
        <v>231</v>
      </c>
    </row>
    <row r="128" spans="1:15" s="1" customFormat="1" ht="15.75" thickBot="1" x14ac:dyDescent="0.3">
      <c r="A128" s="41" t="s">
        <v>611</v>
      </c>
      <c r="B128" s="47" t="s">
        <v>235</v>
      </c>
      <c r="C128" s="41" t="s">
        <v>226</v>
      </c>
      <c r="D128" s="41" t="s">
        <v>227</v>
      </c>
      <c r="E128" s="41" t="s">
        <v>33</v>
      </c>
      <c r="F128" s="48" t="s">
        <v>232</v>
      </c>
      <c r="G128" s="48"/>
      <c r="H128" s="48" t="s">
        <v>232</v>
      </c>
      <c r="I128" s="41" t="s">
        <v>167</v>
      </c>
      <c r="J128" s="41" t="s">
        <v>229</v>
      </c>
      <c r="K128" s="41" t="s">
        <v>186</v>
      </c>
      <c r="L128" s="44" t="s">
        <v>230</v>
      </c>
      <c r="M128" s="45">
        <v>43971</v>
      </c>
      <c r="N128" s="46" t="s">
        <v>140</v>
      </c>
      <c r="O128" s="46" t="s">
        <v>231</v>
      </c>
    </row>
    <row r="129" spans="1:16" s="1" customFormat="1" ht="15.75" thickBot="1" x14ac:dyDescent="0.3">
      <c r="A129" s="41" t="s">
        <v>612</v>
      </c>
      <c r="B129" s="47" t="s">
        <v>235</v>
      </c>
      <c r="C129" s="41" t="s">
        <v>226</v>
      </c>
      <c r="D129" s="41" t="s">
        <v>227</v>
      </c>
      <c r="E129" s="41" t="s">
        <v>20</v>
      </c>
      <c r="F129" s="48" t="s">
        <v>233</v>
      </c>
      <c r="G129" s="48"/>
      <c r="H129" s="48" t="s">
        <v>234</v>
      </c>
      <c r="I129" s="41" t="s">
        <v>170</v>
      </c>
      <c r="J129" s="41" t="s">
        <v>229</v>
      </c>
      <c r="K129" s="41" t="s">
        <v>187</v>
      </c>
      <c r="L129" s="44" t="s">
        <v>230</v>
      </c>
      <c r="M129" s="45">
        <v>43971</v>
      </c>
      <c r="N129" s="46" t="s">
        <v>140</v>
      </c>
      <c r="O129" s="46" t="s">
        <v>231</v>
      </c>
    </row>
    <row r="130" spans="1:16" s="1" customFormat="1" ht="15.75" thickBot="1" x14ac:dyDescent="0.3">
      <c r="A130" s="41" t="s">
        <v>613</v>
      </c>
      <c r="B130" s="47" t="s">
        <v>236</v>
      </c>
      <c r="C130" s="41" t="s">
        <v>237</v>
      </c>
      <c r="D130" s="41" t="s">
        <v>227</v>
      </c>
      <c r="E130" s="41" t="s">
        <v>29</v>
      </c>
      <c r="F130" s="49" t="s">
        <v>157</v>
      </c>
      <c r="G130" s="49"/>
      <c r="H130" s="48" t="s">
        <v>228</v>
      </c>
      <c r="I130" s="41" t="s">
        <v>164</v>
      </c>
      <c r="J130" s="41" t="s">
        <v>238</v>
      </c>
      <c r="K130" s="41" t="s">
        <v>177</v>
      </c>
      <c r="L130" s="44" t="s">
        <v>230</v>
      </c>
      <c r="M130" s="45">
        <v>43971</v>
      </c>
      <c r="N130" s="46" t="s">
        <v>140</v>
      </c>
      <c r="O130" s="46" t="s">
        <v>231</v>
      </c>
    </row>
    <row r="131" spans="1:16" s="1" customFormat="1" ht="15.75" thickBot="1" x14ac:dyDescent="0.3">
      <c r="A131" s="41" t="s">
        <v>614</v>
      </c>
      <c r="B131" s="47" t="s">
        <v>236</v>
      </c>
      <c r="C131" s="41" t="s">
        <v>237</v>
      </c>
      <c r="D131" s="41" t="s">
        <v>227</v>
      </c>
      <c r="E131" s="41" t="s">
        <v>33</v>
      </c>
      <c r="F131" s="48" t="s">
        <v>232</v>
      </c>
      <c r="G131" s="48"/>
      <c r="H131" s="48" t="s">
        <v>232</v>
      </c>
      <c r="I131" s="41" t="s">
        <v>167</v>
      </c>
      <c r="J131" s="41" t="s">
        <v>229</v>
      </c>
      <c r="K131" s="41" t="s">
        <v>178</v>
      </c>
      <c r="L131" s="44" t="s">
        <v>230</v>
      </c>
      <c r="M131" s="45">
        <v>43971</v>
      </c>
      <c r="N131" s="46" t="s">
        <v>140</v>
      </c>
      <c r="O131" s="46" t="s">
        <v>231</v>
      </c>
    </row>
    <row r="132" spans="1:16" s="1" customFormat="1" ht="15.75" thickBot="1" x14ac:dyDescent="0.3">
      <c r="A132" s="41" t="s">
        <v>615</v>
      </c>
      <c r="B132" s="47" t="s">
        <v>236</v>
      </c>
      <c r="C132" s="41" t="s">
        <v>237</v>
      </c>
      <c r="D132" s="41" t="s">
        <v>227</v>
      </c>
      <c r="E132" s="41" t="s">
        <v>20</v>
      </c>
      <c r="F132" s="48" t="s">
        <v>233</v>
      </c>
      <c r="G132" s="48"/>
      <c r="H132" s="48" t="s">
        <v>234</v>
      </c>
      <c r="I132" s="41" t="s">
        <v>170</v>
      </c>
      <c r="J132" s="41" t="s">
        <v>229</v>
      </c>
      <c r="K132" s="41" t="s">
        <v>179</v>
      </c>
      <c r="L132" s="44" t="s">
        <v>230</v>
      </c>
      <c r="M132" s="45">
        <v>43971</v>
      </c>
      <c r="N132" s="46" t="s">
        <v>140</v>
      </c>
      <c r="O132" s="46" t="s">
        <v>231</v>
      </c>
    </row>
    <row r="133" spans="1:16" s="1" customFormat="1" ht="15.75" thickBot="1" x14ac:dyDescent="0.3">
      <c r="A133" s="41" t="s">
        <v>616</v>
      </c>
      <c r="B133" s="47" t="s">
        <v>239</v>
      </c>
      <c r="C133" s="41" t="s">
        <v>237</v>
      </c>
      <c r="D133" s="41" t="s">
        <v>227</v>
      </c>
      <c r="E133" s="41" t="s">
        <v>29</v>
      </c>
      <c r="F133" s="49" t="s">
        <v>157</v>
      </c>
      <c r="G133" s="49"/>
      <c r="H133" s="48" t="s">
        <v>228</v>
      </c>
      <c r="I133" s="41" t="s">
        <v>164</v>
      </c>
      <c r="J133" s="41" t="s">
        <v>238</v>
      </c>
      <c r="K133" s="41" t="s">
        <v>177</v>
      </c>
      <c r="L133" s="44" t="s">
        <v>230</v>
      </c>
      <c r="M133" s="45">
        <v>43971</v>
      </c>
      <c r="N133" s="46" t="s">
        <v>140</v>
      </c>
      <c r="O133" s="46" t="s">
        <v>231</v>
      </c>
    </row>
    <row r="134" spans="1:16" s="1" customFormat="1" ht="15.75" thickBot="1" x14ac:dyDescent="0.3">
      <c r="A134" s="41" t="s">
        <v>617</v>
      </c>
      <c r="B134" s="47" t="s">
        <v>239</v>
      </c>
      <c r="C134" s="41" t="s">
        <v>237</v>
      </c>
      <c r="D134" s="41" t="s">
        <v>227</v>
      </c>
      <c r="E134" s="41" t="s">
        <v>33</v>
      </c>
      <c r="F134" s="48" t="s">
        <v>232</v>
      </c>
      <c r="G134" s="48"/>
      <c r="H134" s="48" t="s">
        <v>232</v>
      </c>
      <c r="I134" s="41" t="s">
        <v>167</v>
      </c>
      <c r="J134" s="41" t="s">
        <v>229</v>
      </c>
      <c r="K134" s="41" t="s">
        <v>178</v>
      </c>
      <c r="L134" s="44" t="s">
        <v>230</v>
      </c>
      <c r="M134" s="45">
        <v>43971</v>
      </c>
      <c r="N134" s="46" t="s">
        <v>140</v>
      </c>
      <c r="O134" s="46" t="s">
        <v>231</v>
      </c>
    </row>
    <row r="135" spans="1:16" s="1" customFormat="1" ht="15.75" thickBot="1" x14ac:dyDescent="0.3">
      <c r="A135" s="41" t="s">
        <v>618</v>
      </c>
      <c r="B135" s="47" t="s">
        <v>239</v>
      </c>
      <c r="C135" s="41" t="s">
        <v>237</v>
      </c>
      <c r="D135" s="41" t="s">
        <v>227</v>
      </c>
      <c r="E135" s="41" t="s">
        <v>20</v>
      </c>
      <c r="F135" s="48" t="s">
        <v>233</v>
      </c>
      <c r="G135" s="48"/>
      <c r="H135" s="48" t="s">
        <v>234</v>
      </c>
      <c r="I135" s="41" t="s">
        <v>170</v>
      </c>
      <c r="J135" s="41" t="s">
        <v>229</v>
      </c>
      <c r="K135" s="41" t="s">
        <v>179</v>
      </c>
      <c r="L135" s="44" t="s">
        <v>230</v>
      </c>
      <c r="M135" s="45">
        <v>43971</v>
      </c>
      <c r="N135" s="46" t="s">
        <v>140</v>
      </c>
      <c r="O135" s="46" t="s">
        <v>231</v>
      </c>
    </row>
    <row r="136" spans="1:16" s="1" customFormat="1" ht="15.75" thickBot="1" x14ac:dyDescent="0.3">
      <c r="A136" s="41" t="s">
        <v>619</v>
      </c>
      <c r="B136" s="47" t="s">
        <v>240</v>
      </c>
      <c r="C136" s="41" t="s">
        <v>241</v>
      </c>
      <c r="D136" s="41" t="s">
        <v>242</v>
      </c>
      <c r="E136" s="41" t="s">
        <v>29</v>
      </c>
      <c r="F136" s="49" t="s">
        <v>157</v>
      </c>
      <c r="G136" s="49" t="s">
        <v>157</v>
      </c>
      <c r="H136" s="49" t="s">
        <v>157</v>
      </c>
      <c r="I136" s="41" t="s">
        <v>164</v>
      </c>
      <c r="J136" s="41" t="s">
        <v>880</v>
      </c>
      <c r="K136" s="41" t="s">
        <v>185</v>
      </c>
      <c r="L136" s="44" t="s">
        <v>882</v>
      </c>
      <c r="M136" s="45">
        <v>44006</v>
      </c>
      <c r="N136" s="46" t="s">
        <v>140</v>
      </c>
      <c r="O136" s="46" t="s">
        <v>231</v>
      </c>
    </row>
    <row r="137" spans="1:16" s="1" customFormat="1" ht="15.75" thickBot="1" x14ac:dyDescent="0.3">
      <c r="A137" s="41" t="s">
        <v>620</v>
      </c>
      <c r="B137" s="47" t="s">
        <v>240</v>
      </c>
      <c r="C137" s="41" t="s">
        <v>241</v>
      </c>
      <c r="D137" s="41" t="s">
        <v>242</v>
      </c>
      <c r="E137" s="41" t="s">
        <v>33</v>
      </c>
      <c r="F137" s="48" t="s">
        <v>885</v>
      </c>
      <c r="G137" s="48"/>
      <c r="H137" s="48" t="s">
        <v>885</v>
      </c>
      <c r="I137" s="41" t="s">
        <v>167</v>
      </c>
      <c r="J137" s="41" t="s">
        <v>880</v>
      </c>
      <c r="K137" s="41" t="s">
        <v>186</v>
      </c>
      <c r="L137" s="44" t="s">
        <v>882</v>
      </c>
      <c r="M137" s="45">
        <v>44006</v>
      </c>
      <c r="N137" s="46" t="s">
        <v>140</v>
      </c>
      <c r="O137" s="46" t="s">
        <v>231</v>
      </c>
    </row>
    <row r="138" spans="1:16" s="1" customFormat="1" ht="15.75" thickBot="1" x14ac:dyDescent="0.3">
      <c r="A138" s="41" t="s">
        <v>621</v>
      </c>
      <c r="B138" s="47" t="s">
        <v>240</v>
      </c>
      <c r="C138" s="41" t="s">
        <v>241</v>
      </c>
      <c r="D138" s="41" t="s">
        <v>242</v>
      </c>
      <c r="E138" s="41" t="s">
        <v>20</v>
      </c>
      <c r="F138" s="48" t="s">
        <v>884</v>
      </c>
      <c r="G138" s="48"/>
      <c r="H138" s="48" t="s">
        <v>883</v>
      </c>
      <c r="I138" s="41" t="s">
        <v>170</v>
      </c>
      <c r="J138" s="41" t="s">
        <v>880</v>
      </c>
      <c r="K138" s="41" t="s">
        <v>187</v>
      </c>
      <c r="L138" s="44" t="s">
        <v>882</v>
      </c>
      <c r="M138" s="45">
        <v>44006</v>
      </c>
      <c r="N138" s="46" t="s">
        <v>140</v>
      </c>
      <c r="O138" s="46" t="s">
        <v>231</v>
      </c>
    </row>
    <row r="139" spans="1:16" s="1" customFormat="1" ht="15.75" thickBot="1" x14ac:dyDescent="0.3">
      <c r="A139" s="41" t="s">
        <v>622</v>
      </c>
      <c r="B139" s="47" t="s">
        <v>244</v>
      </c>
      <c r="C139" s="41" t="s">
        <v>241</v>
      </c>
      <c r="D139" s="41" t="s">
        <v>242</v>
      </c>
      <c r="E139" s="41" t="s">
        <v>29</v>
      </c>
      <c r="F139" s="49" t="s">
        <v>157</v>
      </c>
      <c r="G139" s="49" t="s">
        <v>157</v>
      </c>
      <c r="H139" s="49" t="s">
        <v>157</v>
      </c>
      <c r="I139" s="41" t="s">
        <v>164</v>
      </c>
      <c r="J139" s="41" t="s">
        <v>880</v>
      </c>
      <c r="K139" s="41" t="s">
        <v>185</v>
      </c>
      <c r="L139" s="44" t="s">
        <v>882</v>
      </c>
      <c r="M139" s="45">
        <v>44006</v>
      </c>
      <c r="N139" s="46" t="s">
        <v>140</v>
      </c>
      <c r="O139" s="46" t="s">
        <v>231</v>
      </c>
      <c r="P139" s="1" t="s">
        <v>0</v>
      </c>
    </row>
    <row r="140" spans="1:16" s="1" customFormat="1" ht="15.75" thickBot="1" x14ac:dyDescent="0.3">
      <c r="A140" s="41" t="s">
        <v>623</v>
      </c>
      <c r="B140" s="47" t="s">
        <v>244</v>
      </c>
      <c r="C140" s="41" t="s">
        <v>241</v>
      </c>
      <c r="D140" s="41" t="s">
        <v>242</v>
      </c>
      <c r="E140" s="41" t="s">
        <v>33</v>
      </c>
      <c r="F140" s="48" t="s">
        <v>885</v>
      </c>
      <c r="G140" s="48"/>
      <c r="H140" s="48" t="s">
        <v>885</v>
      </c>
      <c r="I140" s="41" t="s">
        <v>167</v>
      </c>
      <c r="J140" s="41" t="s">
        <v>880</v>
      </c>
      <c r="K140" s="41" t="s">
        <v>186</v>
      </c>
      <c r="L140" s="44" t="s">
        <v>882</v>
      </c>
      <c r="M140" s="45">
        <v>44006</v>
      </c>
      <c r="N140" s="46" t="s">
        <v>140</v>
      </c>
      <c r="O140" s="46" t="s">
        <v>231</v>
      </c>
      <c r="P140" s="1" t="s">
        <v>0</v>
      </c>
    </row>
    <row r="141" spans="1:16" s="1" customFormat="1" ht="15.75" thickBot="1" x14ac:dyDescent="0.3">
      <c r="A141" s="41" t="s">
        <v>624</v>
      </c>
      <c r="B141" s="47" t="s">
        <v>244</v>
      </c>
      <c r="C141" s="41" t="s">
        <v>241</v>
      </c>
      <c r="D141" s="41" t="s">
        <v>242</v>
      </c>
      <c r="E141" s="41" t="s">
        <v>20</v>
      </c>
      <c r="F141" s="48" t="s">
        <v>884</v>
      </c>
      <c r="G141" s="48"/>
      <c r="H141" s="48" t="s">
        <v>883</v>
      </c>
      <c r="I141" s="41" t="s">
        <v>170</v>
      </c>
      <c r="J141" s="41" t="s">
        <v>880</v>
      </c>
      <c r="K141" s="41" t="s">
        <v>187</v>
      </c>
      <c r="L141" s="44" t="s">
        <v>882</v>
      </c>
      <c r="M141" s="45">
        <v>44006</v>
      </c>
      <c r="N141" s="46" t="s">
        <v>140</v>
      </c>
      <c r="O141" s="46" t="s">
        <v>231</v>
      </c>
      <c r="P141" s="1" t="s">
        <v>0</v>
      </c>
    </row>
    <row r="142" spans="1:16" s="1" customFormat="1" ht="15.75" thickBot="1" x14ac:dyDescent="0.3">
      <c r="A142" s="41" t="s">
        <v>625</v>
      </c>
      <c r="B142" s="47" t="s">
        <v>245</v>
      </c>
      <c r="C142" s="41" t="s">
        <v>246</v>
      </c>
      <c r="D142" s="41" t="s">
        <v>242</v>
      </c>
      <c r="E142" s="41" t="s">
        <v>29</v>
      </c>
      <c r="F142" s="49" t="s">
        <v>157</v>
      </c>
      <c r="G142" s="49" t="s">
        <v>157</v>
      </c>
      <c r="H142" s="49" t="s">
        <v>157</v>
      </c>
      <c r="I142" s="41" t="s">
        <v>164</v>
      </c>
      <c r="J142" s="41" t="s">
        <v>881</v>
      </c>
      <c r="K142" s="41" t="s">
        <v>177</v>
      </c>
      <c r="L142" s="44" t="s">
        <v>882</v>
      </c>
      <c r="M142" s="45">
        <v>44006</v>
      </c>
      <c r="N142" s="46" t="s">
        <v>140</v>
      </c>
      <c r="O142" s="46" t="s">
        <v>231</v>
      </c>
      <c r="P142" s="1" t="s">
        <v>0</v>
      </c>
    </row>
    <row r="143" spans="1:16" s="1" customFormat="1" ht="15.75" thickBot="1" x14ac:dyDescent="0.3">
      <c r="A143" s="41" t="s">
        <v>626</v>
      </c>
      <c r="B143" s="47" t="s">
        <v>245</v>
      </c>
      <c r="C143" s="41" t="s">
        <v>246</v>
      </c>
      <c r="D143" s="41" t="s">
        <v>242</v>
      </c>
      <c r="E143" s="41" t="s">
        <v>33</v>
      </c>
      <c r="F143" s="48" t="s">
        <v>885</v>
      </c>
      <c r="G143" s="48"/>
      <c r="H143" s="48" t="s">
        <v>885</v>
      </c>
      <c r="I143" s="41" t="s">
        <v>167</v>
      </c>
      <c r="J143" s="41" t="s">
        <v>881</v>
      </c>
      <c r="K143" s="41" t="s">
        <v>178</v>
      </c>
      <c r="L143" s="44" t="s">
        <v>882</v>
      </c>
      <c r="M143" s="45">
        <v>44006</v>
      </c>
      <c r="N143" s="46" t="s">
        <v>140</v>
      </c>
      <c r="O143" s="46" t="s">
        <v>231</v>
      </c>
      <c r="P143" s="1" t="s">
        <v>0</v>
      </c>
    </row>
    <row r="144" spans="1:16" s="1" customFormat="1" ht="15.75" thickBot="1" x14ac:dyDescent="0.3">
      <c r="A144" s="41" t="s">
        <v>627</v>
      </c>
      <c r="B144" s="47" t="s">
        <v>245</v>
      </c>
      <c r="C144" s="41" t="s">
        <v>246</v>
      </c>
      <c r="D144" s="41" t="s">
        <v>242</v>
      </c>
      <c r="E144" s="41" t="s">
        <v>20</v>
      </c>
      <c r="F144" s="48" t="s">
        <v>884</v>
      </c>
      <c r="G144" s="48"/>
      <c r="H144" s="48" t="s">
        <v>883</v>
      </c>
      <c r="I144" s="41" t="s">
        <v>170</v>
      </c>
      <c r="J144" s="41" t="s">
        <v>881</v>
      </c>
      <c r="K144" s="41" t="s">
        <v>179</v>
      </c>
      <c r="L144" s="44" t="s">
        <v>882</v>
      </c>
      <c r="M144" s="45">
        <v>44006</v>
      </c>
      <c r="N144" s="46" t="s">
        <v>140</v>
      </c>
      <c r="O144" s="46" t="s">
        <v>231</v>
      </c>
      <c r="P144" s="1" t="s">
        <v>0</v>
      </c>
    </row>
    <row r="145" spans="1:16" s="1" customFormat="1" ht="15.75" thickBot="1" x14ac:dyDescent="0.3">
      <c r="A145" s="41" t="s">
        <v>628</v>
      </c>
      <c r="B145" s="47" t="s">
        <v>247</v>
      </c>
      <c r="C145" s="41" t="s">
        <v>246</v>
      </c>
      <c r="D145" s="41" t="s">
        <v>242</v>
      </c>
      <c r="E145" s="41" t="s">
        <v>29</v>
      </c>
      <c r="F145" s="49" t="s">
        <v>157</v>
      </c>
      <c r="G145" s="49" t="s">
        <v>157</v>
      </c>
      <c r="H145" s="49" t="s">
        <v>157</v>
      </c>
      <c r="I145" s="41" t="s">
        <v>164</v>
      </c>
      <c r="J145" s="41" t="s">
        <v>881</v>
      </c>
      <c r="K145" s="41" t="s">
        <v>177</v>
      </c>
      <c r="L145" s="44" t="s">
        <v>882</v>
      </c>
      <c r="M145" s="45">
        <v>44006</v>
      </c>
      <c r="N145" s="46" t="s">
        <v>140</v>
      </c>
      <c r="O145" s="46" t="s">
        <v>231</v>
      </c>
      <c r="P145" s="1" t="s">
        <v>0</v>
      </c>
    </row>
    <row r="146" spans="1:16" s="1" customFormat="1" ht="15.75" thickBot="1" x14ac:dyDescent="0.3">
      <c r="A146" s="41" t="s">
        <v>629</v>
      </c>
      <c r="B146" s="47" t="s">
        <v>247</v>
      </c>
      <c r="C146" s="41" t="s">
        <v>246</v>
      </c>
      <c r="D146" s="41" t="s">
        <v>242</v>
      </c>
      <c r="E146" s="41" t="s">
        <v>33</v>
      </c>
      <c r="F146" s="48" t="s">
        <v>885</v>
      </c>
      <c r="G146" s="48"/>
      <c r="H146" s="48" t="s">
        <v>885</v>
      </c>
      <c r="I146" s="41" t="s">
        <v>167</v>
      </c>
      <c r="J146" s="41" t="s">
        <v>881</v>
      </c>
      <c r="K146" s="41" t="s">
        <v>178</v>
      </c>
      <c r="L146" s="44" t="s">
        <v>882</v>
      </c>
      <c r="M146" s="45">
        <v>44006</v>
      </c>
      <c r="N146" s="46" t="s">
        <v>140</v>
      </c>
      <c r="O146" s="46" t="s">
        <v>231</v>
      </c>
      <c r="P146" s="1" t="s">
        <v>0</v>
      </c>
    </row>
    <row r="147" spans="1:16" s="1" customFormat="1" ht="15.75" thickBot="1" x14ac:dyDescent="0.3">
      <c r="A147" s="41" t="s">
        <v>630</v>
      </c>
      <c r="B147" s="47" t="s">
        <v>247</v>
      </c>
      <c r="C147" s="41" t="s">
        <v>246</v>
      </c>
      <c r="D147" s="41" t="s">
        <v>242</v>
      </c>
      <c r="E147" s="41" t="s">
        <v>20</v>
      </c>
      <c r="F147" s="48" t="s">
        <v>884</v>
      </c>
      <c r="G147" s="48"/>
      <c r="H147" s="48" t="s">
        <v>883</v>
      </c>
      <c r="I147" s="41" t="s">
        <v>170</v>
      </c>
      <c r="J147" s="41" t="s">
        <v>881</v>
      </c>
      <c r="K147" s="41" t="s">
        <v>179</v>
      </c>
      <c r="L147" s="44" t="s">
        <v>882</v>
      </c>
      <c r="M147" s="45">
        <v>44006</v>
      </c>
      <c r="N147" s="46" t="s">
        <v>140</v>
      </c>
      <c r="O147" s="46" t="s">
        <v>231</v>
      </c>
      <c r="P147" s="1" t="s">
        <v>0</v>
      </c>
    </row>
    <row r="148" spans="1:16" s="1" customFormat="1" ht="15.75" thickBot="1" x14ac:dyDescent="0.3">
      <c r="A148" s="41" t="s">
        <v>631</v>
      </c>
      <c r="B148" s="47" t="s">
        <v>248</v>
      </c>
      <c r="C148" s="41" t="s">
        <v>249</v>
      </c>
      <c r="D148" s="41" t="s">
        <v>250</v>
      </c>
      <c r="E148" s="41" t="s">
        <v>29</v>
      </c>
      <c r="F148" s="49" t="s">
        <v>157</v>
      </c>
      <c r="G148" s="49"/>
      <c r="H148" s="48" t="s">
        <v>251</v>
      </c>
      <c r="I148" s="41" t="s">
        <v>164</v>
      </c>
      <c r="J148" s="41" t="s">
        <v>252</v>
      </c>
      <c r="K148" s="41" t="s">
        <v>179</v>
      </c>
      <c r="L148" s="44" t="s">
        <v>243</v>
      </c>
      <c r="M148" s="45">
        <v>43971</v>
      </c>
      <c r="N148" s="46" t="s">
        <v>140</v>
      </c>
      <c r="O148" s="46" t="s">
        <v>231</v>
      </c>
      <c r="P148" s="1" t="s">
        <v>0</v>
      </c>
    </row>
    <row r="149" spans="1:16" s="1" customFormat="1" ht="15.75" thickBot="1" x14ac:dyDescent="0.3">
      <c r="A149" s="41" t="s">
        <v>632</v>
      </c>
      <c r="B149" s="47" t="s">
        <v>248</v>
      </c>
      <c r="C149" s="41" t="s">
        <v>249</v>
      </c>
      <c r="D149" s="41" t="s">
        <v>250</v>
      </c>
      <c r="E149" s="41" t="s">
        <v>33</v>
      </c>
      <c r="F149" s="48" t="s">
        <v>253</v>
      </c>
      <c r="G149" s="48"/>
      <c r="H149" s="48" t="s">
        <v>254</v>
      </c>
      <c r="I149" s="41" t="s">
        <v>167</v>
      </c>
      <c r="J149" s="41" t="s">
        <v>252</v>
      </c>
      <c r="K149" s="41" t="s">
        <v>179</v>
      </c>
      <c r="L149" s="44" t="s">
        <v>243</v>
      </c>
      <c r="M149" s="45">
        <v>43971</v>
      </c>
      <c r="N149" s="46" t="s">
        <v>140</v>
      </c>
      <c r="O149" s="46" t="s">
        <v>231</v>
      </c>
      <c r="P149" s="1" t="s">
        <v>0</v>
      </c>
    </row>
    <row r="150" spans="1:16" s="1" customFormat="1" ht="15.75" thickBot="1" x14ac:dyDescent="0.3">
      <c r="A150" s="41" t="s">
        <v>633</v>
      </c>
      <c r="B150" s="47" t="s">
        <v>248</v>
      </c>
      <c r="C150" s="41" t="s">
        <v>249</v>
      </c>
      <c r="D150" s="41" t="s">
        <v>250</v>
      </c>
      <c r="E150" s="41" t="s">
        <v>20</v>
      </c>
      <c r="F150" s="48" t="s">
        <v>254</v>
      </c>
      <c r="G150" s="48"/>
      <c r="H150" s="48" t="s">
        <v>255</v>
      </c>
      <c r="I150" s="41" t="s">
        <v>170</v>
      </c>
      <c r="J150" s="41" t="s">
        <v>252</v>
      </c>
      <c r="K150" s="41" t="s">
        <v>179</v>
      </c>
      <c r="L150" s="44" t="s">
        <v>243</v>
      </c>
      <c r="M150" s="45">
        <v>43971</v>
      </c>
      <c r="N150" s="46" t="s">
        <v>140</v>
      </c>
      <c r="O150" s="46" t="s">
        <v>231</v>
      </c>
      <c r="P150" s="1" t="s">
        <v>0</v>
      </c>
    </row>
    <row r="151" spans="1:16" s="1" customFormat="1" ht="15.75" thickBot="1" x14ac:dyDescent="0.3">
      <c r="A151" s="41" t="s">
        <v>634</v>
      </c>
      <c r="B151" s="47" t="s">
        <v>256</v>
      </c>
      <c r="C151" s="41" t="s">
        <v>257</v>
      </c>
      <c r="D151" s="41" t="s">
        <v>258</v>
      </c>
      <c r="E151" s="41" t="s">
        <v>29</v>
      </c>
      <c r="F151" s="49" t="s">
        <v>157</v>
      </c>
      <c r="G151" s="49"/>
      <c r="H151" s="48" t="s">
        <v>259</v>
      </c>
      <c r="I151" s="41" t="s">
        <v>164</v>
      </c>
      <c r="J151" s="41" t="s">
        <v>785</v>
      </c>
      <c r="K151" s="41" t="s">
        <v>179</v>
      </c>
      <c r="L151" s="44" t="s">
        <v>788</v>
      </c>
      <c r="M151" s="45">
        <v>43971</v>
      </c>
      <c r="N151" s="46" t="s">
        <v>140</v>
      </c>
      <c r="O151" s="46" t="s">
        <v>231</v>
      </c>
      <c r="P151" s="1" t="s">
        <v>0</v>
      </c>
    </row>
    <row r="152" spans="1:16" s="1" customFormat="1" ht="15.75" thickBot="1" x14ac:dyDescent="0.3">
      <c r="A152" s="41" t="s">
        <v>635</v>
      </c>
      <c r="B152" s="47" t="s">
        <v>256</v>
      </c>
      <c r="C152" s="41" t="s">
        <v>257</v>
      </c>
      <c r="D152" s="41" t="s">
        <v>258</v>
      </c>
      <c r="E152" s="41" t="s">
        <v>33</v>
      </c>
      <c r="F152" s="48" t="s">
        <v>260</v>
      </c>
      <c r="G152" s="48"/>
      <c r="H152" s="48" t="s">
        <v>260</v>
      </c>
      <c r="I152" s="41" t="s">
        <v>167</v>
      </c>
      <c r="J152" s="41" t="s">
        <v>785</v>
      </c>
      <c r="K152" s="41" t="s">
        <v>179</v>
      </c>
      <c r="L152" s="44" t="s">
        <v>788</v>
      </c>
      <c r="M152" s="45">
        <v>43971</v>
      </c>
      <c r="N152" s="46" t="s">
        <v>140</v>
      </c>
      <c r="O152" s="46" t="s">
        <v>231</v>
      </c>
      <c r="P152" s="1" t="s">
        <v>0</v>
      </c>
    </row>
    <row r="153" spans="1:16" s="1" customFormat="1" ht="15.75" thickBot="1" x14ac:dyDescent="0.3">
      <c r="A153" s="41" t="s">
        <v>636</v>
      </c>
      <c r="B153" s="47" t="s">
        <v>256</v>
      </c>
      <c r="C153" s="41" t="s">
        <v>257</v>
      </c>
      <c r="D153" s="41" t="s">
        <v>258</v>
      </c>
      <c r="E153" s="41" t="s">
        <v>20</v>
      </c>
      <c r="F153" s="48" t="s">
        <v>261</v>
      </c>
      <c r="G153" s="48"/>
      <c r="H153" s="48" t="s">
        <v>262</v>
      </c>
      <c r="I153" s="41" t="s">
        <v>170</v>
      </c>
      <c r="J153" s="41" t="s">
        <v>785</v>
      </c>
      <c r="K153" s="41" t="s">
        <v>179</v>
      </c>
      <c r="L153" s="44" t="s">
        <v>788</v>
      </c>
      <c r="M153" s="45">
        <v>43971</v>
      </c>
      <c r="N153" s="46" t="s">
        <v>140</v>
      </c>
      <c r="O153" s="46" t="s">
        <v>231</v>
      </c>
      <c r="P153" s="1" t="s">
        <v>0</v>
      </c>
    </row>
    <row r="154" spans="1:16" s="1" customFormat="1" ht="15.75" thickBot="1" x14ac:dyDescent="0.3">
      <c r="A154" s="41" t="s">
        <v>637</v>
      </c>
      <c r="B154" s="47" t="s">
        <v>263</v>
      </c>
      <c r="C154" s="41" t="s">
        <v>264</v>
      </c>
      <c r="D154" s="41" t="s">
        <v>265</v>
      </c>
      <c r="E154" s="41" t="s">
        <v>266</v>
      </c>
      <c r="F154" s="49" t="s">
        <v>157</v>
      </c>
      <c r="G154" s="49"/>
      <c r="H154" s="48" t="s">
        <v>267</v>
      </c>
      <c r="I154" s="41" t="s">
        <v>268</v>
      </c>
      <c r="J154" s="41" t="s">
        <v>269</v>
      </c>
      <c r="K154" s="42" t="s">
        <v>270</v>
      </c>
      <c r="L154" s="49" t="s">
        <v>271</v>
      </c>
      <c r="M154" s="45">
        <v>42342</v>
      </c>
      <c r="N154" s="46" t="s">
        <v>272</v>
      </c>
      <c r="O154" s="46" t="s">
        <v>81</v>
      </c>
      <c r="P154" s="1" t="s">
        <v>0</v>
      </c>
    </row>
    <row r="155" spans="1:16" s="1" customFormat="1" ht="15.75" thickBot="1" x14ac:dyDescent="0.3">
      <c r="A155" s="41" t="s">
        <v>638</v>
      </c>
      <c r="B155" s="47" t="s">
        <v>263</v>
      </c>
      <c r="C155" s="41" t="s">
        <v>264</v>
      </c>
      <c r="D155" s="41" t="s">
        <v>265</v>
      </c>
      <c r="E155" s="41" t="s">
        <v>273</v>
      </c>
      <c r="F155" s="49" t="s">
        <v>157</v>
      </c>
      <c r="G155" s="49"/>
      <c r="H155" s="49" t="s">
        <v>157</v>
      </c>
      <c r="I155" s="41" t="s">
        <v>274</v>
      </c>
      <c r="J155" s="41" t="s">
        <v>275</v>
      </c>
      <c r="K155" s="42" t="s">
        <v>276</v>
      </c>
      <c r="L155" s="49" t="s">
        <v>271</v>
      </c>
      <c r="M155" s="45">
        <v>42342</v>
      </c>
      <c r="N155" s="46" t="s">
        <v>272</v>
      </c>
      <c r="O155" s="46" t="s">
        <v>81</v>
      </c>
      <c r="P155" s="1" t="s">
        <v>0</v>
      </c>
    </row>
    <row r="156" spans="1:16" s="1" customFormat="1" ht="15.75" thickBot="1" x14ac:dyDescent="0.3">
      <c r="A156" s="41" t="s">
        <v>639</v>
      </c>
      <c r="B156" s="47" t="s">
        <v>263</v>
      </c>
      <c r="C156" s="41" t="s">
        <v>264</v>
      </c>
      <c r="D156" s="41" t="s">
        <v>265</v>
      </c>
      <c r="E156" s="41" t="s">
        <v>277</v>
      </c>
      <c r="F156" s="49" t="s">
        <v>157</v>
      </c>
      <c r="G156" s="49"/>
      <c r="H156" s="48" t="s">
        <v>278</v>
      </c>
      <c r="I156" s="41" t="s">
        <v>279</v>
      </c>
      <c r="J156" s="41" t="s">
        <v>275</v>
      </c>
      <c r="K156" s="42" t="s">
        <v>276</v>
      </c>
      <c r="L156" s="49" t="s">
        <v>271</v>
      </c>
      <c r="M156" s="45">
        <v>42342</v>
      </c>
      <c r="N156" s="46" t="s">
        <v>272</v>
      </c>
      <c r="O156" s="46" t="s">
        <v>81</v>
      </c>
      <c r="P156" s="1" t="s">
        <v>0</v>
      </c>
    </row>
    <row r="157" spans="1:16" s="1" customFormat="1" ht="15.75" thickBot="1" x14ac:dyDescent="0.3">
      <c r="A157" s="41" t="s">
        <v>640</v>
      </c>
      <c r="B157" s="47" t="s">
        <v>280</v>
      </c>
      <c r="C157" s="41" t="s">
        <v>281</v>
      </c>
      <c r="D157" s="41" t="s">
        <v>265</v>
      </c>
      <c r="E157" s="41" t="s">
        <v>266</v>
      </c>
      <c r="F157" s="49" t="s">
        <v>157</v>
      </c>
      <c r="G157" s="49"/>
      <c r="H157" s="49" t="s">
        <v>157</v>
      </c>
      <c r="I157" s="41" t="s">
        <v>268</v>
      </c>
      <c r="J157" s="41" t="s">
        <v>282</v>
      </c>
      <c r="K157" s="42" t="s">
        <v>270</v>
      </c>
      <c r="L157" s="49" t="s">
        <v>271</v>
      </c>
      <c r="M157" s="45">
        <v>43018</v>
      </c>
      <c r="N157" s="46" t="s">
        <v>272</v>
      </c>
      <c r="O157" s="46" t="s">
        <v>81</v>
      </c>
      <c r="P157" s="1" t="s">
        <v>0</v>
      </c>
    </row>
    <row r="158" spans="1:16" s="1" customFormat="1" ht="15.75" thickBot="1" x14ac:dyDescent="0.3">
      <c r="A158" s="41" t="s">
        <v>641</v>
      </c>
      <c r="B158" s="47" t="s">
        <v>280</v>
      </c>
      <c r="C158" s="41" t="s">
        <v>281</v>
      </c>
      <c r="D158" s="41" t="s">
        <v>265</v>
      </c>
      <c r="E158" s="41" t="s">
        <v>273</v>
      </c>
      <c r="F158" s="49" t="s">
        <v>157</v>
      </c>
      <c r="G158" s="49"/>
      <c r="H158" s="49" t="s">
        <v>157</v>
      </c>
      <c r="I158" s="41" t="s">
        <v>274</v>
      </c>
      <c r="J158" s="41" t="s">
        <v>282</v>
      </c>
      <c r="K158" s="42" t="s">
        <v>276</v>
      </c>
      <c r="L158" s="49" t="s">
        <v>271</v>
      </c>
      <c r="M158" s="45">
        <v>43018</v>
      </c>
      <c r="N158" s="46" t="s">
        <v>272</v>
      </c>
      <c r="O158" s="46" t="s">
        <v>81</v>
      </c>
      <c r="P158" s="1" t="s">
        <v>0</v>
      </c>
    </row>
    <row r="159" spans="1:16" s="1" customFormat="1" ht="15.75" thickBot="1" x14ac:dyDescent="0.3">
      <c r="A159" s="41" t="s">
        <v>642</v>
      </c>
      <c r="B159" s="47" t="s">
        <v>280</v>
      </c>
      <c r="C159" s="41" t="s">
        <v>281</v>
      </c>
      <c r="D159" s="41" t="s">
        <v>265</v>
      </c>
      <c r="E159" s="41" t="s">
        <v>277</v>
      </c>
      <c r="F159" s="49" t="s">
        <v>157</v>
      </c>
      <c r="G159" s="49"/>
      <c r="H159" s="48" t="s">
        <v>283</v>
      </c>
      <c r="I159" s="41" t="s">
        <v>279</v>
      </c>
      <c r="J159" s="41" t="s">
        <v>282</v>
      </c>
      <c r="K159" s="42" t="s">
        <v>276</v>
      </c>
      <c r="L159" s="49" t="s">
        <v>271</v>
      </c>
      <c r="M159" s="45">
        <v>43018</v>
      </c>
      <c r="N159" s="46" t="s">
        <v>272</v>
      </c>
      <c r="O159" s="46" t="s">
        <v>81</v>
      </c>
      <c r="P159" s="1" t="s">
        <v>0</v>
      </c>
    </row>
    <row r="160" spans="1:16" s="1" customFormat="1" ht="15.75" thickBot="1" x14ac:dyDescent="0.3">
      <c r="A160" s="41" t="s">
        <v>643</v>
      </c>
      <c r="B160" s="47" t="s">
        <v>284</v>
      </c>
      <c r="C160" s="41" t="s">
        <v>285</v>
      </c>
      <c r="D160" s="41" t="s">
        <v>286</v>
      </c>
      <c r="E160" s="41" t="s">
        <v>156</v>
      </c>
      <c r="F160" s="48" t="s">
        <v>287</v>
      </c>
      <c r="G160" s="48"/>
      <c r="H160" s="48" t="s">
        <v>288</v>
      </c>
      <c r="I160" s="41" t="s">
        <v>289</v>
      </c>
      <c r="J160" s="41" t="s">
        <v>290</v>
      </c>
      <c r="K160" s="42" t="s">
        <v>291</v>
      </c>
      <c r="L160" s="49" t="s">
        <v>292</v>
      </c>
      <c r="M160" s="45">
        <v>43347</v>
      </c>
      <c r="N160" s="46" t="s">
        <v>140</v>
      </c>
      <c r="O160" s="46" t="s">
        <v>28</v>
      </c>
      <c r="P160" s="1" t="s">
        <v>0</v>
      </c>
    </row>
    <row r="161" spans="1:16" s="1" customFormat="1" ht="15.75" thickBot="1" x14ac:dyDescent="0.3">
      <c r="A161" s="41" t="s">
        <v>644</v>
      </c>
      <c r="B161" s="47" t="s">
        <v>284</v>
      </c>
      <c r="C161" s="41" t="s">
        <v>285</v>
      </c>
      <c r="D161" s="41" t="s">
        <v>286</v>
      </c>
      <c r="E161" s="41" t="s">
        <v>20</v>
      </c>
      <c r="F161" s="48" t="s">
        <v>287</v>
      </c>
      <c r="G161" s="48"/>
      <c r="H161" s="48" t="s">
        <v>293</v>
      </c>
      <c r="I161" s="41" t="s">
        <v>83</v>
      </c>
      <c r="J161" s="41" t="s">
        <v>290</v>
      </c>
      <c r="K161" s="42" t="s">
        <v>294</v>
      </c>
      <c r="L161" s="49" t="s">
        <v>292</v>
      </c>
      <c r="M161" s="45">
        <v>43347</v>
      </c>
      <c r="N161" s="46" t="s">
        <v>140</v>
      </c>
      <c r="O161" s="46" t="s">
        <v>28</v>
      </c>
      <c r="P161" s="1" t="s">
        <v>0</v>
      </c>
    </row>
    <row r="162" spans="1:16" s="1" customFormat="1" ht="15.75" thickBot="1" x14ac:dyDescent="0.3">
      <c r="A162" s="41" t="s">
        <v>645</v>
      </c>
      <c r="B162" s="47" t="s">
        <v>284</v>
      </c>
      <c r="C162" s="41" t="s">
        <v>285</v>
      </c>
      <c r="D162" s="41" t="s">
        <v>286</v>
      </c>
      <c r="E162" s="41" t="s">
        <v>29</v>
      </c>
      <c r="F162" s="48" t="s">
        <v>287</v>
      </c>
      <c r="G162" s="48"/>
      <c r="H162" s="48" t="s">
        <v>295</v>
      </c>
      <c r="I162" s="41" t="s">
        <v>151</v>
      </c>
      <c r="J162" s="41" t="s">
        <v>290</v>
      </c>
      <c r="K162" s="42" t="s">
        <v>296</v>
      </c>
      <c r="L162" s="49" t="s">
        <v>292</v>
      </c>
      <c r="M162" s="45">
        <v>43347</v>
      </c>
      <c r="N162" s="46" t="s">
        <v>140</v>
      </c>
      <c r="O162" s="46" t="s">
        <v>28</v>
      </c>
      <c r="P162" s="1" t="s">
        <v>0</v>
      </c>
    </row>
    <row r="163" spans="1:16" s="1" customFormat="1" ht="15.75" thickBot="1" x14ac:dyDescent="0.3">
      <c r="A163" s="41" t="s">
        <v>646</v>
      </c>
      <c r="B163" s="47" t="s">
        <v>297</v>
      </c>
      <c r="C163" s="41" t="s">
        <v>298</v>
      </c>
      <c r="D163" s="41" t="s">
        <v>299</v>
      </c>
      <c r="E163" s="41" t="s">
        <v>300</v>
      </c>
      <c r="F163" s="49" t="s">
        <v>157</v>
      </c>
      <c r="G163" s="49"/>
      <c r="H163" s="49" t="s">
        <v>157</v>
      </c>
      <c r="I163" s="41" t="s">
        <v>301</v>
      </c>
      <c r="J163" s="41" t="s">
        <v>302</v>
      </c>
      <c r="K163" s="41" t="s">
        <v>303</v>
      </c>
      <c r="L163" s="49" t="s">
        <v>271</v>
      </c>
      <c r="M163" s="45">
        <v>42930</v>
      </c>
      <c r="N163" s="46" t="s">
        <v>304</v>
      </c>
      <c r="O163" s="46" t="s">
        <v>28</v>
      </c>
      <c r="P163" s="1" t="s">
        <v>0</v>
      </c>
    </row>
    <row r="164" spans="1:16" s="1" customFormat="1" ht="15.75" thickBot="1" x14ac:dyDescent="0.3">
      <c r="A164" s="41" t="s">
        <v>647</v>
      </c>
      <c r="B164" s="47" t="s">
        <v>297</v>
      </c>
      <c r="C164" s="41" t="s">
        <v>298</v>
      </c>
      <c r="D164" s="41" t="s">
        <v>299</v>
      </c>
      <c r="E164" s="41" t="s">
        <v>20</v>
      </c>
      <c r="F164" s="48" t="s">
        <v>305</v>
      </c>
      <c r="G164" s="48"/>
      <c r="H164" s="48" t="s">
        <v>305</v>
      </c>
      <c r="I164" s="41" t="s">
        <v>306</v>
      </c>
      <c r="J164" s="41" t="s">
        <v>302</v>
      </c>
      <c r="K164" s="41" t="s">
        <v>307</v>
      </c>
      <c r="L164" s="49" t="s">
        <v>271</v>
      </c>
      <c r="M164" s="45">
        <v>42930</v>
      </c>
      <c r="N164" s="46" t="s">
        <v>304</v>
      </c>
      <c r="O164" s="46" t="s">
        <v>28</v>
      </c>
      <c r="P164" s="1" t="s">
        <v>0</v>
      </c>
    </row>
    <row r="165" spans="1:16" s="1" customFormat="1" ht="15.75" thickBot="1" x14ac:dyDescent="0.3">
      <c r="A165" s="41" t="s">
        <v>648</v>
      </c>
      <c r="B165" s="47" t="s">
        <v>297</v>
      </c>
      <c r="C165" s="41" t="s">
        <v>298</v>
      </c>
      <c r="D165" s="41" t="s">
        <v>299</v>
      </c>
      <c r="E165" s="41" t="s">
        <v>308</v>
      </c>
      <c r="F165" s="49" t="s">
        <v>157</v>
      </c>
      <c r="G165" s="49"/>
      <c r="H165" s="49" t="s">
        <v>157</v>
      </c>
      <c r="I165" s="41" t="s">
        <v>309</v>
      </c>
      <c r="J165" s="41" t="s">
        <v>302</v>
      </c>
      <c r="K165" s="41" t="s">
        <v>310</v>
      </c>
      <c r="L165" s="49" t="s">
        <v>271</v>
      </c>
      <c r="M165" s="45">
        <v>42930</v>
      </c>
      <c r="N165" s="46" t="s">
        <v>304</v>
      </c>
      <c r="O165" s="46" t="s">
        <v>28</v>
      </c>
      <c r="P165" s="1" t="s">
        <v>0</v>
      </c>
    </row>
    <row r="166" spans="1:16" s="1" customFormat="1" ht="15.75" thickBot="1" x14ac:dyDescent="0.3">
      <c r="A166" s="41" t="s">
        <v>649</v>
      </c>
      <c r="B166" s="41" t="s">
        <v>311</v>
      </c>
      <c r="C166" s="41" t="s">
        <v>312</v>
      </c>
      <c r="D166" s="41" t="s">
        <v>313</v>
      </c>
      <c r="E166" s="41" t="s">
        <v>33</v>
      </c>
      <c r="F166" s="50" t="s">
        <v>314</v>
      </c>
      <c r="G166" s="50"/>
      <c r="H166" s="50" t="s">
        <v>315</v>
      </c>
      <c r="I166" s="41" t="s">
        <v>316</v>
      </c>
      <c r="J166" s="48" t="s">
        <v>317</v>
      </c>
      <c r="K166" s="41" t="s">
        <v>318</v>
      </c>
      <c r="L166" s="44" t="s">
        <v>319</v>
      </c>
      <c r="M166" s="45">
        <v>43725</v>
      </c>
      <c r="N166" s="46" t="s">
        <v>320</v>
      </c>
      <c r="O166" s="46" t="s">
        <v>28</v>
      </c>
      <c r="P166" s="1" t="s">
        <v>0</v>
      </c>
    </row>
    <row r="167" spans="1:16" s="1" customFormat="1" ht="15.75" thickBot="1" x14ac:dyDescent="0.3">
      <c r="A167" s="41" t="s">
        <v>650</v>
      </c>
      <c r="B167" s="41" t="s">
        <v>311</v>
      </c>
      <c r="C167" s="41" t="s">
        <v>312</v>
      </c>
      <c r="D167" s="41" t="s">
        <v>313</v>
      </c>
      <c r="E167" s="41" t="s">
        <v>29</v>
      </c>
      <c r="F167" s="50" t="s">
        <v>314</v>
      </c>
      <c r="G167" s="50"/>
      <c r="H167" s="50" t="s">
        <v>315</v>
      </c>
      <c r="I167" s="41" t="s">
        <v>31</v>
      </c>
      <c r="J167" s="48" t="s">
        <v>317</v>
      </c>
      <c r="K167" s="41" t="s">
        <v>321</v>
      </c>
      <c r="L167" s="44" t="s">
        <v>319</v>
      </c>
      <c r="M167" s="45">
        <v>43725</v>
      </c>
      <c r="N167" s="46" t="s">
        <v>320</v>
      </c>
      <c r="O167" s="46" t="s">
        <v>28</v>
      </c>
      <c r="P167" s="1" t="s">
        <v>0</v>
      </c>
    </row>
    <row r="168" spans="1:16" s="1" customFormat="1" ht="15.75" thickBot="1" x14ac:dyDescent="0.3">
      <c r="A168" s="41" t="s">
        <v>651</v>
      </c>
      <c r="B168" s="41" t="s">
        <v>311</v>
      </c>
      <c r="C168" s="41" t="s">
        <v>312</v>
      </c>
      <c r="D168" s="41" t="s">
        <v>313</v>
      </c>
      <c r="E168" s="41" t="s">
        <v>20</v>
      </c>
      <c r="F168" s="50" t="s">
        <v>314</v>
      </c>
      <c r="G168" s="50"/>
      <c r="H168" s="50" t="s">
        <v>322</v>
      </c>
      <c r="I168" s="41" t="s">
        <v>83</v>
      </c>
      <c r="J168" s="48" t="s">
        <v>317</v>
      </c>
      <c r="K168" s="41" t="s">
        <v>323</v>
      </c>
      <c r="L168" s="44" t="s">
        <v>319</v>
      </c>
      <c r="M168" s="45">
        <v>43725</v>
      </c>
      <c r="N168" s="46" t="s">
        <v>320</v>
      </c>
      <c r="O168" s="46" t="s">
        <v>28</v>
      </c>
      <c r="P168" s="1" t="s">
        <v>0</v>
      </c>
    </row>
    <row r="169" spans="1:16" s="1" customFormat="1" ht="15.75" thickBot="1" x14ac:dyDescent="0.3">
      <c r="A169" s="41" t="s">
        <v>652</v>
      </c>
      <c r="B169" s="41" t="s">
        <v>311</v>
      </c>
      <c r="C169" s="41" t="s">
        <v>312</v>
      </c>
      <c r="D169" s="41" t="s">
        <v>313</v>
      </c>
      <c r="E169" s="41" t="s">
        <v>20</v>
      </c>
      <c r="F169" s="50" t="s">
        <v>324</v>
      </c>
      <c r="G169" s="50"/>
      <c r="H169" s="50" t="s">
        <v>324</v>
      </c>
      <c r="I169" s="48" t="s">
        <v>325</v>
      </c>
      <c r="J169" s="48" t="s">
        <v>326</v>
      </c>
      <c r="K169" s="41" t="s">
        <v>327</v>
      </c>
      <c r="L169" s="49" t="s">
        <v>328</v>
      </c>
      <c r="M169" s="45">
        <v>43725</v>
      </c>
      <c r="N169" s="46" t="s">
        <v>320</v>
      </c>
      <c r="O169" s="46" t="s">
        <v>28</v>
      </c>
      <c r="P169" s="1" t="s">
        <v>0</v>
      </c>
    </row>
    <row r="170" spans="1:16" s="1" customFormat="1" ht="15.75" thickBot="1" x14ac:dyDescent="0.3">
      <c r="A170" s="41" t="s">
        <v>653</v>
      </c>
      <c r="B170" s="41" t="s">
        <v>311</v>
      </c>
      <c r="C170" s="41" t="s">
        <v>312</v>
      </c>
      <c r="D170" s="41" t="s">
        <v>313</v>
      </c>
      <c r="E170" s="41" t="s">
        <v>329</v>
      </c>
      <c r="F170" s="50" t="s">
        <v>330</v>
      </c>
      <c r="G170" s="50"/>
      <c r="H170" s="50" t="s">
        <v>324</v>
      </c>
      <c r="I170" s="48" t="s">
        <v>331</v>
      </c>
      <c r="J170" s="48" t="s">
        <v>326</v>
      </c>
      <c r="K170" s="41" t="s">
        <v>332</v>
      </c>
      <c r="L170" s="49" t="s">
        <v>328</v>
      </c>
      <c r="M170" s="45">
        <v>43725</v>
      </c>
      <c r="N170" s="46" t="s">
        <v>320</v>
      </c>
      <c r="O170" s="46" t="s">
        <v>28</v>
      </c>
      <c r="P170" s="1" t="s">
        <v>0</v>
      </c>
    </row>
    <row r="171" spans="1:16" s="1" customFormat="1" ht="15.75" thickBot="1" x14ac:dyDescent="0.3">
      <c r="A171" s="41" t="s">
        <v>654</v>
      </c>
      <c r="B171" s="41" t="s">
        <v>333</v>
      </c>
      <c r="C171" s="41" t="s">
        <v>334</v>
      </c>
      <c r="D171" s="41" t="s">
        <v>313</v>
      </c>
      <c r="E171" s="41" t="s">
        <v>33</v>
      </c>
      <c r="F171" s="50" t="s">
        <v>314</v>
      </c>
      <c r="G171" s="50"/>
      <c r="H171" s="50" t="s">
        <v>315</v>
      </c>
      <c r="I171" s="41" t="s">
        <v>316</v>
      </c>
      <c r="J171" s="48" t="s">
        <v>317</v>
      </c>
      <c r="K171" s="41" t="s">
        <v>318</v>
      </c>
      <c r="L171" s="44" t="s">
        <v>319</v>
      </c>
      <c r="M171" s="45">
        <v>43725</v>
      </c>
      <c r="N171" s="46" t="s">
        <v>320</v>
      </c>
      <c r="O171" s="46" t="s">
        <v>28</v>
      </c>
      <c r="P171" s="1" t="s">
        <v>0</v>
      </c>
    </row>
    <row r="172" spans="1:16" s="1" customFormat="1" ht="15.75" thickBot="1" x14ac:dyDescent="0.3">
      <c r="A172" s="41" t="s">
        <v>655</v>
      </c>
      <c r="B172" s="41" t="s">
        <v>333</v>
      </c>
      <c r="C172" s="41" t="s">
        <v>334</v>
      </c>
      <c r="D172" s="41" t="s">
        <v>313</v>
      </c>
      <c r="E172" s="41" t="s">
        <v>29</v>
      </c>
      <c r="F172" s="50" t="s">
        <v>314</v>
      </c>
      <c r="G172" s="50"/>
      <c r="H172" s="50" t="s">
        <v>315</v>
      </c>
      <c r="I172" s="41" t="s">
        <v>31</v>
      </c>
      <c r="J172" s="48" t="s">
        <v>317</v>
      </c>
      <c r="K172" s="41" t="s">
        <v>321</v>
      </c>
      <c r="L172" s="44" t="s">
        <v>319</v>
      </c>
      <c r="M172" s="45">
        <v>43725</v>
      </c>
      <c r="N172" s="46" t="s">
        <v>320</v>
      </c>
      <c r="O172" s="46" t="s">
        <v>28</v>
      </c>
      <c r="P172" s="1" t="s">
        <v>0</v>
      </c>
    </row>
    <row r="173" spans="1:16" s="1" customFormat="1" ht="15.75" thickBot="1" x14ac:dyDescent="0.3">
      <c r="A173" s="41" t="s">
        <v>656</v>
      </c>
      <c r="B173" s="41" t="s">
        <v>333</v>
      </c>
      <c r="C173" s="41" t="s">
        <v>334</v>
      </c>
      <c r="D173" s="41" t="s">
        <v>313</v>
      </c>
      <c r="E173" s="41" t="s">
        <v>20</v>
      </c>
      <c r="F173" s="50" t="s">
        <v>314</v>
      </c>
      <c r="G173" s="50"/>
      <c r="H173" s="50" t="s">
        <v>322</v>
      </c>
      <c r="I173" s="41" t="s">
        <v>83</v>
      </c>
      <c r="J173" s="48" t="s">
        <v>317</v>
      </c>
      <c r="K173" s="41" t="s">
        <v>323</v>
      </c>
      <c r="L173" s="44" t="s">
        <v>319</v>
      </c>
      <c r="M173" s="45">
        <v>43725</v>
      </c>
      <c r="N173" s="46" t="s">
        <v>320</v>
      </c>
      <c r="O173" s="46" t="s">
        <v>28</v>
      </c>
      <c r="P173" s="1" t="s">
        <v>0</v>
      </c>
    </row>
    <row r="174" spans="1:16" s="1" customFormat="1" ht="15.75" thickBot="1" x14ac:dyDescent="0.3">
      <c r="A174" s="41" t="s">
        <v>657</v>
      </c>
      <c r="B174" s="41" t="s">
        <v>333</v>
      </c>
      <c r="C174" s="41" t="s">
        <v>334</v>
      </c>
      <c r="D174" s="41" t="s">
        <v>313</v>
      </c>
      <c r="E174" s="41" t="s">
        <v>20</v>
      </c>
      <c r="F174" s="50" t="s">
        <v>324</v>
      </c>
      <c r="G174" s="50"/>
      <c r="H174" s="50" t="s">
        <v>324</v>
      </c>
      <c r="I174" s="48" t="s">
        <v>325</v>
      </c>
      <c r="J174" s="48" t="s">
        <v>326</v>
      </c>
      <c r="K174" s="41" t="s">
        <v>327</v>
      </c>
      <c r="L174" s="49" t="s">
        <v>328</v>
      </c>
      <c r="M174" s="45">
        <v>43725</v>
      </c>
      <c r="N174" s="46" t="s">
        <v>320</v>
      </c>
      <c r="O174" s="46" t="s">
        <v>28</v>
      </c>
      <c r="P174" s="1" t="s">
        <v>0</v>
      </c>
    </row>
    <row r="175" spans="1:16" s="1" customFormat="1" ht="15.75" thickBot="1" x14ac:dyDescent="0.3">
      <c r="A175" s="41" t="s">
        <v>658</v>
      </c>
      <c r="B175" s="41" t="s">
        <v>333</v>
      </c>
      <c r="C175" s="41" t="s">
        <v>334</v>
      </c>
      <c r="D175" s="41" t="s">
        <v>313</v>
      </c>
      <c r="E175" s="41" t="s">
        <v>329</v>
      </c>
      <c r="F175" s="50" t="s">
        <v>330</v>
      </c>
      <c r="G175" s="50"/>
      <c r="H175" s="50" t="s">
        <v>324</v>
      </c>
      <c r="I175" s="48" t="s">
        <v>331</v>
      </c>
      <c r="J175" s="48" t="s">
        <v>326</v>
      </c>
      <c r="K175" s="41" t="s">
        <v>332</v>
      </c>
      <c r="L175" s="49" t="s">
        <v>328</v>
      </c>
      <c r="M175" s="45">
        <v>43725</v>
      </c>
      <c r="N175" s="46" t="s">
        <v>320</v>
      </c>
      <c r="O175" s="46" t="s">
        <v>28</v>
      </c>
      <c r="P175" s="1" t="s">
        <v>0</v>
      </c>
    </row>
    <row r="176" spans="1:16" s="1" customFormat="1" ht="15.75" thickBot="1" x14ac:dyDescent="0.3">
      <c r="A176" s="41" t="s">
        <v>659</v>
      </c>
      <c r="B176" s="41" t="s">
        <v>335</v>
      </c>
      <c r="C176" s="41" t="s">
        <v>336</v>
      </c>
      <c r="D176" s="41" t="s">
        <v>313</v>
      </c>
      <c r="E176" s="41" t="s">
        <v>33</v>
      </c>
      <c r="F176" s="50" t="s">
        <v>314</v>
      </c>
      <c r="G176" s="50"/>
      <c r="H176" s="50" t="s">
        <v>315</v>
      </c>
      <c r="I176" s="41" t="s">
        <v>316</v>
      </c>
      <c r="J176" s="48" t="s">
        <v>317</v>
      </c>
      <c r="K176" s="41" t="s">
        <v>318</v>
      </c>
      <c r="L176" s="44" t="s">
        <v>319</v>
      </c>
      <c r="M176" s="45">
        <v>43725</v>
      </c>
      <c r="N176" s="46" t="s">
        <v>320</v>
      </c>
      <c r="O176" s="46" t="s">
        <v>28</v>
      </c>
      <c r="P176" s="1" t="s">
        <v>0</v>
      </c>
    </row>
    <row r="177" spans="1:16" s="1" customFormat="1" ht="15.75" thickBot="1" x14ac:dyDescent="0.3">
      <c r="A177" s="41" t="s">
        <v>660</v>
      </c>
      <c r="B177" s="41" t="s">
        <v>335</v>
      </c>
      <c r="C177" s="41" t="s">
        <v>336</v>
      </c>
      <c r="D177" s="41" t="s">
        <v>313</v>
      </c>
      <c r="E177" s="41" t="s">
        <v>29</v>
      </c>
      <c r="F177" s="50" t="s">
        <v>314</v>
      </c>
      <c r="G177" s="50"/>
      <c r="H177" s="50" t="s">
        <v>315</v>
      </c>
      <c r="I177" s="41" t="s">
        <v>31</v>
      </c>
      <c r="J177" s="48" t="s">
        <v>317</v>
      </c>
      <c r="K177" s="41" t="s">
        <v>321</v>
      </c>
      <c r="L177" s="44" t="s">
        <v>319</v>
      </c>
      <c r="M177" s="45">
        <v>43725</v>
      </c>
      <c r="N177" s="46" t="s">
        <v>320</v>
      </c>
      <c r="O177" s="46" t="s">
        <v>28</v>
      </c>
      <c r="P177" s="1" t="s">
        <v>0</v>
      </c>
    </row>
    <row r="178" spans="1:16" s="1" customFormat="1" ht="15.75" thickBot="1" x14ac:dyDescent="0.3">
      <c r="A178" s="41" t="s">
        <v>661</v>
      </c>
      <c r="B178" s="41" t="s">
        <v>335</v>
      </c>
      <c r="C178" s="41" t="s">
        <v>336</v>
      </c>
      <c r="D178" s="41" t="s">
        <v>313</v>
      </c>
      <c r="E178" s="41" t="s">
        <v>20</v>
      </c>
      <c r="F178" s="50" t="s">
        <v>314</v>
      </c>
      <c r="G178" s="50"/>
      <c r="H178" s="50" t="s">
        <v>322</v>
      </c>
      <c r="I178" s="41" t="s">
        <v>83</v>
      </c>
      <c r="J178" s="48" t="s">
        <v>317</v>
      </c>
      <c r="K178" s="41" t="s">
        <v>323</v>
      </c>
      <c r="L178" s="44" t="s">
        <v>319</v>
      </c>
      <c r="M178" s="45">
        <v>43725</v>
      </c>
      <c r="N178" s="46" t="s">
        <v>320</v>
      </c>
      <c r="O178" s="46" t="s">
        <v>28</v>
      </c>
      <c r="P178" s="1" t="s">
        <v>0</v>
      </c>
    </row>
    <row r="179" spans="1:16" s="1" customFormat="1" ht="15.75" thickBot="1" x14ac:dyDescent="0.3">
      <c r="A179" s="41" t="s">
        <v>662</v>
      </c>
      <c r="B179" s="41" t="s">
        <v>335</v>
      </c>
      <c r="C179" s="41" t="s">
        <v>336</v>
      </c>
      <c r="D179" s="41" t="s">
        <v>313</v>
      </c>
      <c r="E179" s="41" t="s">
        <v>20</v>
      </c>
      <c r="F179" s="50" t="s">
        <v>324</v>
      </c>
      <c r="G179" s="50"/>
      <c r="H179" s="50" t="s">
        <v>324</v>
      </c>
      <c r="I179" s="48" t="s">
        <v>325</v>
      </c>
      <c r="J179" s="48" t="s">
        <v>326</v>
      </c>
      <c r="K179" s="41" t="s">
        <v>327</v>
      </c>
      <c r="L179" s="49" t="s">
        <v>328</v>
      </c>
      <c r="M179" s="45">
        <v>43725</v>
      </c>
      <c r="N179" s="46" t="s">
        <v>320</v>
      </c>
      <c r="O179" s="46" t="s">
        <v>28</v>
      </c>
      <c r="P179" s="1" t="s">
        <v>0</v>
      </c>
    </row>
    <row r="180" spans="1:16" s="1" customFormat="1" ht="15.75" thickBot="1" x14ac:dyDescent="0.3">
      <c r="A180" s="41" t="s">
        <v>663</v>
      </c>
      <c r="B180" s="41" t="s">
        <v>335</v>
      </c>
      <c r="C180" s="41" t="s">
        <v>336</v>
      </c>
      <c r="D180" s="41" t="s">
        <v>313</v>
      </c>
      <c r="E180" s="41" t="s">
        <v>329</v>
      </c>
      <c r="F180" s="50" t="s">
        <v>330</v>
      </c>
      <c r="G180" s="50"/>
      <c r="H180" s="50" t="s">
        <v>324</v>
      </c>
      <c r="I180" s="48" t="s">
        <v>331</v>
      </c>
      <c r="J180" s="48" t="s">
        <v>326</v>
      </c>
      <c r="K180" s="41" t="s">
        <v>332</v>
      </c>
      <c r="L180" s="49" t="s">
        <v>328</v>
      </c>
      <c r="M180" s="45">
        <v>43725</v>
      </c>
      <c r="N180" s="46" t="s">
        <v>320</v>
      </c>
      <c r="O180" s="46" t="s">
        <v>28</v>
      </c>
      <c r="P180" s="1" t="s">
        <v>0</v>
      </c>
    </row>
    <row r="181" spans="1:16" s="1" customFormat="1" ht="15.75" thickBot="1" x14ac:dyDescent="0.3">
      <c r="A181" s="41" t="s">
        <v>664</v>
      </c>
      <c r="B181" s="47" t="s">
        <v>337</v>
      </c>
      <c r="C181" s="41" t="s">
        <v>338</v>
      </c>
      <c r="D181" s="41" t="s">
        <v>339</v>
      </c>
      <c r="E181" s="41" t="s">
        <v>340</v>
      </c>
      <c r="F181" s="49" t="s">
        <v>157</v>
      </c>
      <c r="G181" s="49"/>
      <c r="H181" s="49" t="s">
        <v>157</v>
      </c>
      <c r="I181" s="41" t="s">
        <v>341</v>
      </c>
      <c r="J181" s="41" t="s">
        <v>342</v>
      </c>
      <c r="K181" s="41" t="s">
        <v>343</v>
      </c>
      <c r="L181" s="44" t="s">
        <v>344</v>
      </c>
      <c r="M181" s="45">
        <v>43973</v>
      </c>
      <c r="N181" s="46" t="s">
        <v>272</v>
      </c>
      <c r="O181" s="46" t="s">
        <v>81</v>
      </c>
      <c r="P181" s="1" t="s">
        <v>0</v>
      </c>
    </row>
    <row r="182" spans="1:16" s="1" customFormat="1" ht="15.75" thickBot="1" x14ac:dyDescent="0.3">
      <c r="A182" s="41" t="s">
        <v>665</v>
      </c>
      <c r="B182" s="47" t="s">
        <v>337</v>
      </c>
      <c r="C182" s="41" t="s">
        <v>338</v>
      </c>
      <c r="D182" s="41" t="s">
        <v>339</v>
      </c>
      <c r="E182" s="41" t="s">
        <v>340</v>
      </c>
      <c r="F182" s="49" t="s">
        <v>157</v>
      </c>
      <c r="G182" s="49"/>
      <c r="H182" s="50" t="s">
        <v>345</v>
      </c>
      <c r="I182" s="41" t="s">
        <v>346</v>
      </c>
      <c r="J182" s="41" t="s">
        <v>342</v>
      </c>
      <c r="K182" s="41" t="s">
        <v>347</v>
      </c>
      <c r="L182" s="44" t="s">
        <v>344</v>
      </c>
      <c r="M182" s="45">
        <v>43973</v>
      </c>
      <c r="N182" s="46" t="s">
        <v>272</v>
      </c>
      <c r="O182" s="46" t="s">
        <v>81</v>
      </c>
      <c r="P182" s="1" t="s">
        <v>0</v>
      </c>
    </row>
    <row r="183" spans="1:16" s="1" customFormat="1" ht="15.75" thickBot="1" x14ac:dyDescent="0.3">
      <c r="A183" s="41" t="s">
        <v>666</v>
      </c>
      <c r="B183" s="47" t="s">
        <v>337</v>
      </c>
      <c r="C183" s="41" t="s">
        <v>338</v>
      </c>
      <c r="D183" s="41" t="s">
        <v>339</v>
      </c>
      <c r="E183" s="41" t="s">
        <v>33</v>
      </c>
      <c r="F183" s="50" t="s">
        <v>348</v>
      </c>
      <c r="G183" s="50"/>
      <c r="H183" s="48" t="s">
        <v>349</v>
      </c>
      <c r="I183" s="41" t="s">
        <v>167</v>
      </c>
      <c r="J183" s="41" t="s">
        <v>350</v>
      </c>
      <c r="K183" s="41" t="s">
        <v>178</v>
      </c>
      <c r="L183" s="44" t="s">
        <v>351</v>
      </c>
      <c r="M183" s="45">
        <v>43973</v>
      </c>
      <c r="N183" s="46" t="s">
        <v>272</v>
      </c>
      <c r="O183" s="46" t="s">
        <v>81</v>
      </c>
      <c r="P183" s="1" t="s">
        <v>0</v>
      </c>
    </row>
    <row r="184" spans="1:16" s="1" customFormat="1" ht="15.75" thickBot="1" x14ac:dyDescent="0.3">
      <c r="A184" s="41" t="s">
        <v>667</v>
      </c>
      <c r="B184" s="47" t="s">
        <v>337</v>
      </c>
      <c r="C184" s="41" t="s">
        <v>338</v>
      </c>
      <c r="D184" s="41" t="s">
        <v>339</v>
      </c>
      <c r="E184" s="41" t="s">
        <v>20</v>
      </c>
      <c r="F184" s="50" t="s">
        <v>348</v>
      </c>
      <c r="G184" s="50"/>
      <c r="H184" s="48" t="s">
        <v>352</v>
      </c>
      <c r="I184" s="41" t="s">
        <v>170</v>
      </c>
      <c r="J184" s="41" t="s">
        <v>350</v>
      </c>
      <c r="K184" s="41" t="s">
        <v>179</v>
      </c>
      <c r="L184" s="44" t="s">
        <v>351</v>
      </c>
      <c r="M184" s="45">
        <v>43973</v>
      </c>
      <c r="N184" s="46" t="s">
        <v>272</v>
      </c>
      <c r="O184" s="46" t="s">
        <v>81</v>
      </c>
      <c r="P184" s="1" t="s">
        <v>0</v>
      </c>
    </row>
    <row r="185" spans="1:16" s="1" customFormat="1" ht="15.75" thickBot="1" x14ac:dyDescent="0.3">
      <c r="A185" s="41" t="s">
        <v>668</v>
      </c>
      <c r="B185" s="47" t="s">
        <v>337</v>
      </c>
      <c r="C185" s="41" t="s">
        <v>338</v>
      </c>
      <c r="D185" s="41" t="s">
        <v>339</v>
      </c>
      <c r="E185" s="41" t="s">
        <v>20</v>
      </c>
      <c r="F185" s="50" t="s">
        <v>348</v>
      </c>
      <c r="G185" s="50"/>
      <c r="H185" s="48" t="s">
        <v>352</v>
      </c>
      <c r="I185" s="41" t="s">
        <v>175</v>
      </c>
      <c r="J185" s="41" t="s">
        <v>350</v>
      </c>
      <c r="K185" s="41" t="s">
        <v>176</v>
      </c>
      <c r="L185" s="44" t="s">
        <v>351</v>
      </c>
      <c r="M185" s="45">
        <v>43973</v>
      </c>
      <c r="N185" s="46" t="s">
        <v>272</v>
      </c>
      <c r="O185" s="46" t="s">
        <v>81</v>
      </c>
      <c r="P185" s="1" t="s">
        <v>0</v>
      </c>
    </row>
    <row r="186" spans="1:16" s="1" customFormat="1" ht="15.75" thickBot="1" x14ac:dyDescent="0.3">
      <c r="A186" s="41" t="s">
        <v>669</v>
      </c>
      <c r="B186" s="47" t="s">
        <v>337</v>
      </c>
      <c r="C186" s="41" t="s">
        <v>338</v>
      </c>
      <c r="D186" s="41" t="s">
        <v>339</v>
      </c>
      <c r="E186" s="41" t="s">
        <v>156</v>
      </c>
      <c r="F186" s="49" t="s">
        <v>157</v>
      </c>
      <c r="G186" s="49"/>
      <c r="H186" s="49" t="s">
        <v>157</v>
      </c>
      <c r="I186" s="41" t="s">
        <v>158</v>
      </c>
      <c r="J186" s="41" t="s">
        <v>350</v>
      </c>
      <c r="K186" s="41" t="s">
        <v>353</v>
      </c>
      <c r="L186" s="44" t="s">
        <v>351</v>
      </c>
      <c r="M186" s="45">
        <v>43973</v>
      </c>
      <c r="N186" s="46" t="s">
        <v>272</v>
      </c>
      <c r="O186" s="46" t="s">
        <v>81</v>
      </c>
      <c r="P186" s="1" t="s">
        <v>0</v>
      </c>
    </row>
    <row r="187" spans="1:16" s="1" customFormat="1" ht="15.75" thickBot="1" x14ac:dyDescent="0.3">
      <c r="A187" s="41" t="s">
        <v>670</v>
      </c>
      <c r="B187" s="47" t="s">
        <v>337</v>
      </c>
      <c r="C187" s="41" t="s">
        <v>338</v>
      </c>
      <c r="D187" s="41" t="s">
        <v>339</v>
      </c>
      <c r="E187" s="41" t="s">
        <v>33</v>
      </c>
      <c r="F187" s="50" t="s">
        <v>354</v>
      </c>
      <c r="G187" s="50"/>
      <c r="H187" s="50" t="s">
        <v>354</v>
      </c>
      <c r="I187" s="41" t="s">
        <v>355</v>
      </c>
      <c r="J187" s="41" t="s">
        <v>356</v>
      </c>
      <c r="K187" s="41" t="s">
        <v>357</v>
      </c>
      <c r="L187" s="44" t="s">
        <v>358</v>
      </c>
      <c r="M187" s="45">
        <v>43973</v>
      </c>
      <c r="N187" s="46" t="s">
        <v>272</v>
      </c>
      <c r="O187" s="46" t="s">
        <v>81</v>
      </c>
      <c r="P187" s="1" t="s">
        <v>0</v>
      </c>
    </row>
    <row r="188" spans="1:16" s="1" customFormat="1" ht="15.75" thickBot="1" x14ac:dyDescent="0.3">
      <c r="A188" s="41" t="s">
        <v>671</v>
      </c>
      <c r="B188" s="47" t="s">
        <v>337</v>
      </c>
      <c r="C188" s="41" t="s">
        <v>338</v>
      </c>
      <c r="D188" s="41" t="s">
        <v>339</v>
      </c>
      <c r="E188" s="41" t="s">
        <v>20</v>
      </c>
      <c r="F188" s="50" t="s">
        <v>354</v>
      </c>
      <c r="G188" s="50"/>
      <c r="H188" s="50" t="s">
        <v>359</v>
      </c>
      <c r="I188" s="41" t="s">
        <v>360</v>
      </c>
      <c r="J188" s="41" t="s">
        <v>356</v>
      </c>
      <c r="K188" s="41" t="s">
        <v>361</v>
      </c>
      <c r="L188" s="44" t="s">
        <v>358</v>
      </c>
      <c r="M188" s="45">
        <v>43973</v>
      </c>
      <c r="N188" s="46" t="s">
        <v>272</v>
      </c>
      <c r="O188" s="46" t="s">
        <v>81</v>
      </c>
      <c r="P188" s="1" t="s">
        <v>0</v>
      </c>
    </row>
    <row r="189" spans="1:16" s="1" customFormat="1" ht="15.75" thickBot="1" x14ac:dyDescent="0.3">
      <c r="A189" s="41" t="s">
        <v>672</v>
      </c>
      <c r="B189" s="41" t="s">
        <v>362</v>
      </c>
      <c r="C189" s="41" t="s">
        <v>363</v>
      </c>
      <c r="D189" s="41" t="s">
        <v>364</v>
      </c>
      <c r="E189" s="41" t="s">
        <v>33</v>
      </c>
      <c r="F189" s="50"/>
      <c r="G189" s="50" t="s">
        <v>789</v>
      </c>
      <c r="H189" s="50" t="s">
        <v>795</v>
      </c>
      <c r="I189" s="41" t="s">
        <v>316</v>
      </c>
      <c r="J189" s="48" t="s">
        <v>786</v>
      </c>
      <c r="K189" s="41" t="s">
        <v>365</v>
      </c>
      <c r="L189" s="44" t="s">
        <v>787</v>
      </c>
      <c r="M189" s="45">
        <v>44000</v>
      </c>
      <c r="N189" s="46" t="s">
        <v>140</v>
      </c>
      <c r="O189" s="46" t="s">
        <v>81</v>
      </c>
      <c r="P189" s="1" t="s">
        <v>0</v>
      </c>
    </row>
    <row r="190" spans="1:16" s="1" customFormat="1" ht="15.75" thickBot="1" x14ac:dyDescent="0.3">
      <c r="A190" s="41" t="s">
        <v>673</v>
      </c>
      <c r="B190" s="41" t="s">
        <v>362</v>
      </c>
      <c r="C190" s="41" t="s">
        <v>363</v>
      </c>
      <c r="D190" s="41" t="s">
        <v>364</v>
      </c>
      <c r="E190" s="41" t="s">
        <v>29</v>
      </c>
      <c r="F190" s="50"/>
      <c r="G190" s="50" t="s">
        <v>789</v>
      </c>
      <c r="H190" s="50" t="s">
        <v>795</v>
      </c>
      <c r="I190" s="48" t="s">
        <v>151</v>
      </c>
      <c r="J190" s="48" t="s">
        <v>786</v>
      </c>
      <c r="K190" s="48" t="s">
        <v>366</v>
      </c>
      <c r="L190" s="44" t="s">
        <v>787</v>
      </c>
      <c r="M190" s="45">
        <v>44000</v>
      </c>
      <c r="N190" s="46" t="s">
        <v>140</v>
      </c>
      <c r="O190" s="46" t="s">
        <v>81</v>
      </c>
      <c r="P190" s="1" t="s">
        <v>0</v>
      </c>
    </row>
    <row r="191" spans="1:16" s="1" customFormat="1" ht="15.75" thickBot="1" x14ac:dyDescent="0.3">
      <c r="A191" s="41" t="s">
        <v>674</v>
      </c>
      <c r="B191" s="41" t="s">
        <v>362</v>
      </c>
      <c r="C191" s="41" t="s">
        <v>363</v>
      </c>
      <c r="D191" s="41" t="s">
        <v>364</v>
      </c>
      <c r="E191" s="41" t="s">
        <v>20</v>
      </c>
      <c r="F191" s="50"/>
      <c r="G191" s="50" t="s">
        <v>789</v>
      </c>
      <c r="H191" s="50" t="s">
        <v>796</v>
      </c>
      <c r="I191" s="48" t="s">
        <v>367</v>
      </c>
      <c r="J191" s="48" t="s">
        <v>786</v>
      </c>
      <c r="K191" s="48" t="s">
        <v>368</v>
      </c>
      <c r="L191" s="44" t="s">
        <v>787</v>
      </c>
      <c r="M191" s="45">
        <v>44000</v>
      </c>
      <c r="N191" s="46" t="s">
        <v>140</v>
      </c>
      <c r="O191" s="46" t="s">
        <v>81</v>
      </c>
      <c r="P191" s="1" t="s">
        <v>0</v>
      </c>
    </row>
    <row r="192" spans="1:16" s="1" customFormat="1" ht="15.75" thickBot="1" x14ac:dyDescent="0.3">
      <c r="A192" s="41" t="s">
        <v>675</v>
      </c>
      <c r="B192" s="41" t="s">
        <v>362</v>
      </c>
      <c r="C192" s="41" t="s">
        <v>363</v>
      </c>
      <c r="D192" s="41" t="s">
        <v>364</v>
      </c>
      <c r="E192" s="41" t="s">
        <v>20</v>
      </c>
      <c r="F192" s="50"/>
      <c r="G192" s="50" t="s">
        <v>369</v>
      </c>
      <c r="H192" s="50" t="s">
        <v>369</v>
      </c>
      <c r="I192" s="41" t="s">
        <v>370</v>
      </c>
      <c r="J192" s="48" t="s">
        <v>371</v>
      </c>
      <c r="K192" s="48" t="s">
        <v>372</v>
      </c>
      <c r="L192" s="49" t="s">
        <v>328</v>
      </c>
      <c r="M192" s="45">
        <v>43112</v>
      </c>
      <c r="N192" s="46" t="s">
        <v>140</v>
      </c>
      <c r="O192" s="46" t="s">
        <v>81</v>
      </c>
      <c r="P192" s="1" t="s">
        <v>0</v>
      </c>
    </row>
    <row r="193" spans="1:16" s="1" customFormat="1" ht="15.75" thickBot="1" x14ac:dyDescent="0.3">
      <c r="A193" s="41" t="s">
        <v>676</v>
      </c>
      <c r="B193" s="41" t="s">
        <v>362</v>
      </c>
      <c r="C193" s="41" t="s">
        <v>363</v>
      </c>
      <c r="D193" s="41" t="s">
        <v>364</v>
      </c>
      <c r="E193" s="41" t="s">
        <v>20</v>
      </c>
      <c r="F193" s="50"/>
      <c r="G193" s="50" t="s">
        <v>373</v>
      </c>
      <c r="H193" s="50" t="s">
        <v>373</v>
      </c>
      <c r="I193" s="41" t="s">
        <v>374</v>
      </c>
      <c r="J193" s="48" t="s">
        <v>371</v>
      </c>
      <c r="K193" s="48" t="s">
        <v>375</v>
      </c>
      <c r="L193" s="49" t="s">
        <v>328</v>
      </c>
      <c r="M193" s="45">
        <v>43112</v>
      </c>
      <c r="N193" s="46" t="s">
        <v>140</v>
      </c>
      <c r="O193" s="46" t="s">
        <v>81</v>
      </c>
      <c r="P193" s="1" t="s">
        <v>0</v>
      </c>
    </row>
    <row r="194" spans="1:16" s="1" customFormat="1" ht="15.75" thickBot="1" x14ac:dyDescent="0.3">
      <c r="A194" s="41" t="s">
        <v>677</v>
      </c>
      <c r="B194" s="47" t="s">
        <v>376</v>
      </c>
      <c r="C194" s="41" t="s">
        <v>377</v>
      </c>
      <c r="D194" s="41" t="s">
        <v>378</v>
      </c>
      <c r="E194" s="41" t="s">
        <v>379</v>
      </c>
      <c r="F194" s="48" t="s">
        <v>380</v>
      </c>
      <c r="G194" s="48"/>
      <c r="H194" s="48" t="s">
        <v>381</v>
      </c>
      <c r="I194" s="41" t="s">
        <v>382</v>
      </c>
      <c r="J194" s="41" t="s">
        <v>383</v>
      </c>
      <c r="K194" s="42" t="s">
        <v>384</v>
      </c>
      <c r="L194" s="44" t="s">
        <v>385</v>
      </c>
      <c r="M194" s="45">
        <v>43474</v>
      </c>
      <c r="N194" s="46" t="s">
        <v>272</v>
      </c>
      <c r="O194" s="46" t="s">
        <v>81</v>
      </c>
      <c r="P194" s="1" t="s">
        <v>0</v>
      </c>
    </row>
    <row r="195" spans="1:16" s="1" customFormat="1" ht="15.75" thickBot="1" x14ac:dyDescent="0.3">
      <c r="A195" s="41" t="s">
        <v>678</v>
      </c>
      <c r="B195" s="47" t="s">
        <v>376</v>
      </c>
      <c r="C195" s="41" t="s">
        <v>377</v>
      </c>
      <c r="D195" s="41" t="s">
        <v>378</v>
      </c>
      <c r="E195" s="41" t="s">
        <v>20</v>
      </c>
      <c r="F195" s="48" t="s">
        <v>386</v>
      </c>
      <c r="G195" s="48"/>
      <c r="H195" s="48" t="s">
        <v>387</v>
      </c>
      <c r="I195" s="41" t="s">
        <v>388</v>
      </c>
      <c r="J195" s="41" t="s">
        <v>389</v>
      </c>
      <c r="K195" s="42" t="s">
        <v>390</v>
      </c>
      <c r="L195" s="44" t="s">
        <v>391</v>
      </c>
      <c r="M195" s="45">
        <v>43950</v>
      </c>
      <c r="N195" s="46" t="s">
        <v>272</v>
      </c>
      <c r="O195" s="46" t="s">
        <v>81</v>
      </c>
      <c r="P195" s="1" t="s">
        <v>0</v>
      </c>
    </row>
    <row r="196" spans="1:16" s="1" customFormat="1" ht="15.75" thickBot="1" x14ac:dyDescent="0.3">
      <c r="A196" s="41" t="s">
        <v>679</v>
      </c>
      <c r="B196" s="47" t="s">
        <v>376</v>
      </c>
      <c r="C196" s="41" t="s">
        <v>377</v>
      </c>
      <c r="D196" s="41" t="s">
        <v>378</v>
      </c>
      <c r="E196" s="41" t="s">
        <v>33</v>
      </c>
      <c r="F196" s="48" t="s">
        <v>386</v>
      </c>
      <c r="G196" s="48"/>
      <c r="H196" s="48" t="s">
        <v>392</v>
      </c>
      <c r="I196" s="41" t="s">
        <v>393</v>
      </c>
      <c r="J196" s="41" t="s">
        <v>389</v>
      </c>
      <c r="K196" s="42" t="s">
        <v>394</v>
      </c>
      <c r="L196" s="44" t="s">
        <v>391</v>
      </c>
      <c r="M196" s="45">
        <v>43950</v>
      </c>
      <c r="N196" s="46" t="s">
        <v>272</v>
      </c>
      <c r="O196" s="46" t="s">
        <v>81</v>
      </c>
      <c r="P196" s="1" t="s">
        <v>0</v>
      </c>
    </row>
    <row r="197" spans="1:16" s="1" customFormat="1" ht="15.75" thickBot="1" x14ac:dyDescent="0.3">
      <c r="A197" s="41" t="s">
        <v>680</v>
      </c>
      <c r="B197" s="47" t="s">
        <v>376</v>
      </c>
      <c r="C197" s="41" t="s">
        <v>377</v>
      </c>
      <c r="D197" s="41" t="s">
        <v>378</v>
      </c>
      <c r="E197" s="41" t="s">
        <v>20</v>
      </c>
      <c r="F197" s="48" t="s">
        <v>395</v>
      </c>
      <c r="G197" s="48"/>
      <c r="H197" s="48" t="s">
        <v>396</v>
      </c>
      <c r="I197" s="41" t="s">
        <v>175</v>
      </c>
      <c r="J197" s="41" t="s">
        <v>397</v>
      </c>
      <c r="K197" s="41" t="s">
        <v>398</v>
      </c>
      <c r="L197" s="44" t="s">
        <v>399</v>
      </c>
      <c r="M197" s="45">
        <v>43950</v>
      </c>
      <c r="N197" s="46" t="s">
        <v>272</v>
      </c>
      <c r="O197" s="46" t="s">
        <v>81</v>
      </c>
      <c r="P197" s="1" t="s">
        <v>0</v>
      </c>
    </row>
    <row r="198" spans="1:16" s="1" customFormat="1" ht="15.75" thickBot="1" x14ac:dyDescent="0.3">
      <c r="A198" s="41" t="s">
        <v>681</v>
      </c>
      <c r="B198" s="47" t="s">
        <v>376</v>
      </c>
      <c r="C198" s="41" t="s">
        <v>377</v>
      </c>
      <c r="D198" s="41" t="s">
        <v>378</v>
      </c>
      <c r="E198" s="41" t="s">
        <v>33</v>
      </c>
      <c r="F198" s="48" t="s">
        <v>395</v>
      </c>
      <c r="G198" s="48"/>
      <c r="H198" s="48" t="s">
        <v>400</v>
      </c>
      <c r="I198" s="41" t="s">
        <v>167</v>
      </c>
      <c r="J198" s="41" t="s">
        <v>397</v>
      </c>
      <c r="K198" s="41" t="s">
        <v>401</v>
      </c>
      <c r="L198" s="44" t="s">
        <v>399</v>
      </c>
      <c r="M198" s="45">
        <v>43950</v>
      </c>
      <c r="N198" s="46" t="s">
        <v>272</v>
      </c>
      <c r="O198" s="46" t="s">
        <v>81</v>
      </c>
      <c r="P198" s="1" t="s">
        <v>0</v>
      </c>
    </row>
    <row r="199" spans="1:16" s="1" customFormat="1" ht="15.75" thickBot="1" x14ac:dyDescent="0.3">
      <c r="A199" s="41" t="s">
        <v>682</v>
      </c>
      <c r="B199" s="47" t="s">
        <v>376</v>
      </c>
      <c r="C199" s="41" t="s">
        <v>377</v>
      </c>
      <c r="D199" s="41" t="s">
        <v>378</v>
      </c>
      <c r="E199" s="41" t="s">
        <v>33</v>
      </c>
      <c r="F199" s="48" t="s">
        <v>395</v>
      </c>
      <c r="G199" s="48"/>
      <c r="H199" s="48" t="s">
        <v>400</v>
      </c>
      <c r="I199" s="41" t="s">
        <v>167</v>
      </c>
      <c r="J199" s="41" t="s">
        <v>397</v>
      </c>
      <c r="K199" s="41" t="s">
        <v>402</v>
      </c>
      <c r="L199" s="44" t="s">
        <v>399</v>
      </c>
      <c r="M199" s="45">
        <v>43950</v>
      </c>
      <c r="N199" s="46" t="s">
        <v>272</v>
      </c>
      <c r="O199" s="46" t="s">
        <v>81</v>
      </c>
      <c r="P199" s="1" t="s">
        <v>0</v>
      </c>
    </row>
    <row r="200" spans="1:16" s="1" customFormat="1" ht="15.75" thickBot="1" x14ac:dyDescent="0.3">
      <c r="A200" s="41" t="s">
        <v>683</v>
      </c>
      <c r="B200" s="47" t="s">
        <v>376</v>
      </c>
      <c r="C200" s="41" t="s">
        <v>377</v>
      </c>
      <c r="D200" s="41" t="s">
        <v>378</v>
      </c>
      <c r="E200" s="41" t="s">
        <v>403</v>
      </c>
      <c r="F200" s="49" t="s">
        <v>157</v>
      </c>
      <c r="G200" s="49"/>
      <c r="H200" s="51" t="s">
        <v>404</v>
      </c>
      <c r="I200" s="41" t="s">
        <v>405</v>
      </c>
      <c r="J200" s="41" t="s">
        <v>406</v>
      </c>
      <c r="K200" s="41" t="s">
        <v>407</v>
      </c>
      <c r="L200" s="49" t="s">
        <v>271</v>
      </c>
      <c r="M200" s="45">
        <v>43502</v>
      </c>
      <c r="N200" s="46" t="s">
        <v>272</v>
      </c>
      <c r="O200" s="46" t="s">
        <v>81</v>
      </c>
      <c r="P200" s="1" t="s">
        <v>0</v>
      </c>
    </row>
    <row r="201" spans="1:16" s="1" customFormat="1" ht="15.75" thickBot="1" x14ac:dyDescent="0.3">
      <c r="A201" s="41" t="s">
        <v>684</v>
      </c>
      <c r="B201" s="47" t="s">
        <v>376</v>
      </c>
      <c r="C201" s="41" t="s">
        <v>377</v>
      </c>
      <c r="D201" s="41" t="s">
        <v>378</v>
      </c>
      <c r="E201" s="48" t="s">
        <v>340</v>
      </c>
      <c r="F201" s="49" t="s">
        <v>157</v>
      </c>
      <c r="G201" s="49"/>
      <c r="H201" s="48" t="s">
        <v>408</v>
      </c>
      <c r="I201" s="41" t="s">
        <v>409</v>
      </c>
      <c r="J201" s="41" t="s">
        <v>410</v>
      </c>
      <c r="K201" s="41" t="s">
        <v>411</v>
      </c>
      <c r="L201" s="49" t="s">
        <v>412</v>
      </c>
      <c r="M201" s="45">
        <v>43878</v>
      </c>
      <c r="N201" s="52" t="s">
        <v>272</v>
      </c>
      <c r="O201" s="46" t="s">
        <v>81</v>
      </c>
      <c r="P201" s="1" t="s">
        <v>0</v>
      </c>
    </row>
    <row r="202" spans="1:16" s="1" customFormat="1" ht="15.75" thickBot="1" x14ac:dyDescent="0.3">
      <c r="A202" s="41" t="s">
        <v>685</v>
      </c>
      <c r="B202" s="47" t="s">
        <v>413</v>
      </c>
      <c r="C202" s="41" t="s">
        <v>414</v>
      </c>
      <c r="D202" s="41" t="s">
        <v>378</v>
      </c>
      <c r="E202" s="41" t="s">
        <v>379</v>
      </c>
      <c r="F202" s="48" t="s">
        <v>380</v>
      </c>
      <c r="G202" s="48"/>
      <c r="H202" s="48" t="s">
        <v>381</v>
      </c>
      <c r="I202" s="41" t="s">
        <v>382</v>
      </c>
      <c r="J202" s="41" t="s">
        <v>383</v>
      </c>
      <c r="K202" s="42" t="s">
        <v>384</v>
      </c>
      <c r="L202" s="44" t="s">
        <v>385</v>
      </c>
      <c r="M202" s="45">
        <v>43474</v>
      </c>
      <c r="N202" s="46" t="s">
        <v>272</v>
      </c>
      <c r="O202" s="46" t="s">
        <v>81</v>
      </c>
      <c r="P202" s="1" t="s">
        <v>0</v>
      </c>
    </row>
    <row r="203" spans="1:16" s="1" customFormat="1" ht="15.75" thickBot="1" x14ac:dyDescent="0.3">
      <c r="A203" s="41" t="s">
        <v>686</v>
      </c>
      <c r="B203" s="47" t="s">
        <v>413</v>
      </c>
      <c r="C203" s="41" t="s">
        <v>414</v>
      </c>
      <c r="D203" s="41" t="s">
        <v>378</v>
      </c>
      <c r="E203" s="41" t="s">
        <v>20</v>
      </c>
      <c r="F203" s="48" t="s">
        <v>386</v>
      </c>
      <c r="G203" s="48"/>
      <c r="H203" s="48" t="s">
        <v>387</v>
      </c>
      <c r="I203" s="41" t="s">
        <v>388</v>
      </c>
      <c r="J203" s="41" t="s">
        <v>389</v>
      </c>
      <c r="K203" s="42" t="s">
        <v>390</v>
      </c>
      <c r="L203" s="44" t="s">
        <v>391</v>
      </c>
      <c r="M203" s="45">
        <v>43950</v>
      </c>
      <c r="N203" s="46" t="s">
        <v>272</v>
      </c>
      <c r="O203" s="46" t="s">
        <v>81</v>
      </c>
      <c r="P203" s="1" t="s">
        <v>0</v>
      </c>
    </row>
    <row r="204" spans="1:16" s="1" customFormat="1" ht="15.75" thickBot="1" x14ac:dyDescent="0.3">
      <c r="A204" s="41" t="s">
        <v>687</v>
      </c>
      <c r="B204" s="47" t="s">
        <v>413</v>
      </c>
      <c r="C204" s="41" t="s">
        <v>414</v>
      </c>
      <c r="D204" s="41" t="s">
        <v>378</v>
      </c>
      <c r="E204" s="41" t="s">
        <v>33</v>
      </c>
      <c r="F204" s="48" t="s">
        <v>386</v>
      </c>
      <c r="G204" s="48"/>
      <c r="H204" s="48" t="s">
        <v>392</v>
      </c>
      <c r="I204" s="41" t="s">
        <v>393</v>
      </c>
      <c r="J204" s="41" t="s">
        <v>389</v>
      </c>
      <c r="K204" s="42" t="s">
        <v>394</v>
      </c>
      <c r="L204" s="44" t="s">
        <v>391</v>
      </c>
      <c r="M204" s="45">
        <v>43950</v>
      </c>
      <c r="N204" s="46" t="s">
        <v>272</v>
      </c>
      <c r="O204" s="46" t="s">
        <v>81</v>
      </c>
      <c r="P204" s="1" t="s">
        <v>0</v>
      </c>
    </row>
    <row r="205" spans="1:16" s="1" customFormat="1" ht="15.75" thickBot="1" x14ac:dyDescent="0.3">
      <c r="A205" s="41" t="s">
        <v>688</v>
      </c>
      <c r="B205" s="47" t="s">
        <v>413</v>
      </c>
      <c r="C205" s="41" t="s">
        <v>414</v>
      </c>
      <c r="D205" s="41" t="s">
        <v>378</v>
      </c>
      <c r="E205" s="41" t="s">
        <v>20</v>
      </c>
      <c r="F205" s="48" t="s">
        <v>395</v>
      </c>
      <c r="G205" s="48"/>
      <c r="H205" s="48" t="s">
        <v>396</v>
      </c>
      <c r="I205" s="41" t="s">
        <v>175</v>
      </c>
      <c r="J205" s="41" t="s">
        <v>397</v>
      </c>
      <c r="K205" s="41" t="s">
        <v>398</v>
      </c>
      <c r="L205" s="44" t="s">
        <v>399</v>
      </c>
      <c r="M205" s="45">
        <v>43950</v>
      </c>
      <c r="N205" s="46" t="s">
        <v>272</v>
      </c>
      <c r="O205" s="46" t="s">
        <v>81</v>
      </c>
      <c r="P205" s="1" t="s">
        <v>0</v>
      </c>
    </row>
    <row r="206" spans="1:16" s="1" customFormat="1" ht="15.75" thickBot="1" x14ac:dyDescent="0.3">
      <c r="A206" s="41" t="s">
        <v>689</v>
      </c>
      <c r="B206" s="47" t="s">
        <v>413</v>
      </c>
      <c r="C206" s="41" t="s">
        <v>414</v>
      </c>
      <c r="D206" s="41" t="s">
        <v>378</v>
      </c>
      <c r="E206" s="41" t="s">
        <v>33</v>
      </c>
      <c r="F206" s="48" t="s">
        <v>395</v>
      </c>
      <c r="G206" s="48"/>
      <c r="H206" s="48" t="s">
        <v>400</v>
      </c>
      <c r="I206" s="41" t="s">
        <v>167</v>
      </c>
      <c r="J206" s="41" t="s">
        <v>397</v>
      </c>
      <c r="K206" s="41" t="s">
        <v>401</v>
      </c>
      <c r="L206" s="44" t="s">
        <v>399</v>
      </c>
      <c r="M206" s="45">
        <v>43950</v>
      </c>
      <c r="N206" s="46" t="s">
        <v>272</v>
      </c>
      <c r="O206" s="46" t="s">
        <v>81</v>
      </c>
      <c r="P206" s="1" t="s">
        <v>0</v>
      </c>
    </row>
    <row r="207" spans="1:16" s="1" customFormat="1" ht="15.75" thickBot="1" x14ac:dyDescent="0.3">
      <c r="A207" s="41" t="s">
        <v>690</v>
      </c>
      <c r="B207" s="47" t="s">
        <v>413</v>
      </c>
      <c r="C207" s="41" t="s">
        <v>414</v>
      </c>
      <c r="D207" s="41" t="s">
        <v>378</v>
      </c>
      <c r="E207" s="41" t="s">
        <v>33</v>
      </c>
      <c r="F207" s="48" t="s">
        <v>395</v>
      </c>
      <c r="G207" s="48"/>
      <c r="H207" s="48" t="s">
        <v>400</v>
      </c>
      <c r="I207" s="41" t="s">
        <v>167</v>
      </c>
      <c r="J207" s="41" t="s">
        <v>397</v>
      </c>
      <c r="K207" s="41" t="s">
        <v>402</v>
      </c>
      <c r="L207" s="44" t="s">
        <v>399</v>
      </c>
      <c r="M207" s="45">
        <v>43950</v>
      </c>
      <c r="N207" s="46" t="s">
        <v>272</v>
      </c>
      <c r="O207" s="46" t="s">
        <v>81</v>
      </c>
      <c r="P207" s="1" t="s">
        <v>0</v>
      </c>
    </row>
    <row r="208" spans="1:16" s="1" customFormat="1" ht="15.75" thickBot="1" x14ac:dyDescent="0.3">
      <c r="A208" s="41" t="s">
        <v>691</v>
      </c>
      <c r="B208" s="47" t="s">
        <v>413</v>
      </c>
      <c r="C208" s="41" t="s">
        <v>414</v>
      </c>
      <c r="D208" s="41" t="s">
        <v>378</v>
      </c>
      <c r="E208" s="41" t="s">
        <v>403</v>
      </c>
      <c r="F208" s="49" t="s">
        <v>157</v>
      </c>
      <c r="G208" s="49"/>
      <c r="H208" s="51" t="s">
        <v>404</v>
      </c>
      <c r="I208" s="41" t="s">
        <v>405</v>
      </c>
      <c r="J208" s="41" t="s">
        <v>406</v>
      </c>
      <c r="K208" s="41" t="s">
        <v>407</v>
      </c>
      <c r="L208" s="49" t="s">
        <v>271</v>
      </c>
      <c r="M208" s="45">
        <v>43502</v>
      </c>
      <c r="N208" s="46" t="s">
        <v>272</v>
      </c>
      <c r="O208" s="46" t="s">
        <v>81</v>
      </c>
      <c r="P208" s="1" t="s">
        <v>0</v>
      </c>
    </row>
    <row r="209" spans="1:16" s="1" customFormat="1" ht="15.75" thickBot="1" x14ac:dyDescent="0.3">
      <c r="A209" s="41" t="s">
        <v>692</v>
      </c>
      <c r="B209" s="47" t="s">
        <v>413</v>
      </c>
      <c r="C209" s="41" t="s">
        <v>414</v>
      </c>
      <c r="D209" s="41" t="s">
        <v>378</v>
      </c>
      <c r="E209" s="48" t="s">
        <v>340</v>
      </c>
      <c r="F209" s="49" t="s">
        <v>157</v>
      </c>
      <c r="G209" s="49"/>
      <c r="H209" s="48" t="s">
        <v>408</v>
      </c>
      <c r="I209" s="41" t="s">
        <v>409</v>
      </c>
      <c r="J209" s="41" t="s">
        <v>410</v>
      </c>
      <c r="K209" s="41" t="s">
        <v>411</v>
      </c>
      <c r="L209" s="49" t="s">
        <v>412</v>
      </c>
      <c r="M209" s="45">
        <v>43878</v>
      </c>
      <c r="N209" s="52" t="s">
        <v>272</v>
      </c>
      <c r="O209" s="46" t="s">
        <v>81</v>
      </c>
      <c r="P209" s="1" t="s">
        <v>0</v>
      </c>
    </row>
    <row r="210" spans="1:16" s="1" customFormat="1" ht="15.75" thickBot="1" x14ac:dyDescent="0.3">
      <c r="A210" s="41" t="s">
        <v>693</v>
      </c>
      <c r="B210" s="47" t="s">
        <v>415</v>
      </c>
      <c r="C210" s="41" t="s">
        <v>416</v>
      </c>
      <c r="D210" s="41" t="s">
        <v>378</v>
      </c>
      <c r="E210" s="41" t="s">
        <v>379</v>
      </c>
      <c r="F210" s="48" t="s">
        <v>380</v>
      </c>
      <c r="G210" s="48"/>
      <c r="H210" s="48" t="s">
        <v>381</v>
      </c>
      <c r="I210" s="41" t="s">
        <v>382</v>
      </c>
      <c r="J210" s="41" t="s">
        <v>383</v>
      </c>
      <c r="K210" s="42" t="s">
        <v>384</v>
      </c>
      <c r="L210" s="44" t="s">
        <v>385</v>
      </c>
      <c r="M210" s="45">
        <v>43474</v>
      </c>
      <c r="N210" s="46" t="s">
        <v>272</v>
      </c>
      <c r="O210" s="46" t="s">
        <v>81</v>
      </c>
      <c r="P210" s="1" t="s">
        <v>0</v>
      </c>
    </row>
    <row r="211" spans="1:16" s="1" customFormat="1" ht="15.75" thickBot="1" x14ac:dyDescent="0.3">
      <c r="A211" s="41" t="s">
        <v>694</v>
      </c>
      <c r="B211" s="47" t="s">
        <v>415</v>
      </c>
      <c r="C211" s="41" t="s">
        <v>416</v>
      </c>
      <c r="D211" s="41" t="s">
        <v>378</v>
      </c>
      <c r="E211" s="41" t="s">
        <v>20</v>
      </c>
      <c r="F211" s="48" t="s">
        <v>386</v>
      </c>
      <c r="G211" s="48"/>
      <c r="H211" s="48" t="s">
        <v>387</v>
      </c>
      <c r="I211" s="41" t="s">
        <v>388</v>
      </c>
      <c r="J211" s="41" t="s">
        <v>389</v>
      </c>
      <c r="K211" s="42" t="s">
        <v>390</v>
      </c>
      <c r="L211" s="44" t="s">
        <v>391</v>
      </c>
      <c r="M211" s="45">
        <v>43950</v>
      </c>
      <c r="N211" s="46" t="s">
        <v>272</v>
      </c>
      <c r="O211" s="46" t="s">
        <v>81</v>
      </c>
      <c r="P211" s="1" t="s">
        <v>0</v>
      </c>
    </row>
    <row r="212" spans="1:16" s="1" customFormat="1" ht="15.75" thickBot="1" x14ac:dyDescent="0.3">
      <c r="A212" s="41" t="s">
        <v>695</v>
      </c>
      <c r="B212" s="47" t="s">
        <v>415</v>
      </c>
      <c r="C212" s="41" t="s">
        <v>416</v>
      </c>
      <c r="D212" s="41" t="s">
        <v>378</v>
      </c>
      <c r="E212" s="41" t="s">
        <v>33</v>
      </c>
      <c r="F212" s="48" t="s">
        <v>386</v>
      </c>
      <c r="G212" s="48"/>
      <c r="H212" s="48" t="s">
        <v>392</v>
      </c>
      <c r="I212" s="41" t="s">
        <v>393</v>
      </c>
      <c r="J212" s="41" t="s">
        <v>389</v>
      </c>
      <c r="K212" s="42" t="s">
        <v>394</v>
      </c>
      <c r="L212" s="44" t="s">
        <v>391</v>
      </c>
      <c r="M212" s="45">
        <v>43950</v>
      </c>
      <c r="N212" s="46" t="s">
        <v>272</v>
      </c>
      <c r="O212" s="46" t="s">
        <v>81</v>
      </c>
      <c r="P212" s="1" t="s">
        <v>0</v>
      </c>
    </row>
    <row r="213" spans="1:16" s="1" customFormat="1" ht="15.75" thickBot="1" x14ac:dyDescent="0.3">
      <c r="A213" s="41" t="s">
        <v>696</v>
      </c>
      <c r="B213" s="47" t="s">
        <v>415</v>
      </c>
      <c r="C213" s="41" t="s">
        <v>416</v>
      </c>
      <c r="D213" s="41" t="s">
        <v>378</v>
      </c>
      <c r="E213" s="41" t="s">
        <v>20</v>
      </c>
      <c r="F213" s="48" t="s">
        <v>395</v>
      </c>
      <c r="G213" s="48"/>
      <c r="H213" s="48" t="s">
        <v>396</v>
      </c>
      <c r="I213" s="41" t="s">
        <v>175</v>
      </c>
      <c r="J213" s="41" t="s">
        <v>397</v>
      </c>
      <c r="K213" s="41" t="s">
        <v>398</v>
      </c>
      <c r="L213" s="44" t="s">
        <v>399</v>
      </c>
      <c r="M213" s="45">
        <v>43950</v>
      </c>
      <c r="N213" s="46" t="s">
        <v>272</v>
      </c>
      <c r="O213" s="46" t="s">
        <v>81</v>
      </c>
      <c r="P213" s="1" t="s">
        <v>0</v>
      </c>
    </row>
    <row r="214" spans="1:16" s="1" customFormat="1" ht="15.75" thickBot="1" x14ac:dyDescent="0.3">
      <c r="A214" s="41" t="s">
        <v>697</v>
      </c>
      <c r="B214" s="47" t="s">
        <v>415</v>
      </c>
      <c r="C214" s="41" t="s">
        <v>416</v>
      </c>
      <c r="D214" s="41" t="s">
        <v>378</v>
      </c>
      <c r="E214" s="41" t="s">
        <v>33</v>
      </c>
      <c r="F214" s="48" t="s">
        <v>395</v>
      </c>
      <c r="G214" s="48"/>
      <c r="H214" s="48" t="s">
        <v>400</v>
      </c>
      <c r="I214" s="41" t="s">
        <v>167</v>
      </c>
      <c r="J214" s="41" t="s">
        <v>397</v>
      </c>
      <c r="K214" s="41" t="s">
        <v>401</v>
      </c>
      <c r="L214" s="44" t="s">
        <v>399</v>
      </c>
      <c r="M214" s="45">
        <v>43950</v>
      </c>
      <c r="N214" s="46" t="s">
        <v>272</v>
      </c>
      <c r="O214" s="46" t="s">
        <v>81</v>
      </c>
      <c r="P214" s="1" t="s">
        <v>0</v>
      </c>
    </row>
    <row r="215" spans="1:16" s="1" customFormat="1" ht="15.75" thickBot="1" x14ac:dyDescent="0.3">
      <c r="A215" s="41" t="s">
        <v>698</v>
      </c>
      <c r="B215" s="47" t="s">
        <v>415</v>
      </c>
      <c r="C215" s="41" t="s">
        <v>416</v>
      </c>
      <c r="D215" s="41" t="s">
        <v>378</v>
      </c>
      <c r="E215" s="41" t="s">
        <v>33</v>
      </c>
      <c r="F215" s="48" t="s">
        <v>395</v>
      </c>
      <c r="G215" s="48"/>
      <c r="H215" s="48" t="s">
        <v>400</v>
      </c>
      <c r="I215" s="41" t="s">
        <v>167</v>
      </c>
      <c r="J215" s="41" t="s">
        <v>397</v>
      </c>
      <c r="K215" s="41" t="s">
        <v>402</v>
      </c>
      <c r="L215" s="44" t="s">
        <v>399</v>
      </c>
      <c r="M215" s="45">
        <v>43950</v>
      </c>
      <c r="N215" s="46" t="s">
        <v>272</v>
      </c>
      <c r="O215" s="46" t="s">
        <v>81</v>
      </c>
      <c r="P215" s="1" t="s">
        <v>0</v>
      </c>
    </row>
    <row r="216" spans="1:16" s="1" customFormat="1" ht="15.75" thickBot="1" x14ac:dyDescent="0.3">
      <c r="A216" s="41" t="s">
        <v>699</v>
      </c>
      <c r="B216" s="47" t="s">
        <v>415</v>
      </c>
      <c r="C216" s="41" t="s">
        <v>416</v>
      </c>
      <c r="D216" s="41" t="s">
        <v>378</v>
      </c>
      <c r="E216" s="41" t="s">
        <v>403</v>
      </c>
      <c r="F216" s="49" t="s">
        <v>157</v>
      </c>
      <c r="G216" s="49"/>
      <c r="H216" s="51" t="s">
        <v>404</v>
      </c>
      <c r="I216" s="41" t="s">
        <v>405</v>
      </c>
      <c r="J216" s="41" t="s">
        <v>406</v>
      </c>
      <c r="K216" s="41" t="s">
        <v>407</v>
      </c>
      <c r="L216" s="49" t="s">
        <v>271</v>
      </c>
      <c r="M216" s="45">
        <v>43502</v>
      </c>
      <c r="N216" s="46" t="s">
        <v>272</v>
      </c>
      <c r="O216" s="46" t="s">
        <v>81</v>
      </c>
      <c r="P216" s="1" t="s">
        <v>0</v>
      </c>
    </row>
    <row r="217" spans="1:16" s="1" customFormat="1" ht="15.75" thickBot="1" x14ac:dyDescent="0.3">
      <c r="A217" s="41" t="s">
        <v>700</v>
      </c>
      <c r="B217" s="47" t="s">
        <v>415</v>
      </c>
      <c r="C217" s="41" t="s">
        <v>416</v>
      </c>
      <c r="D217" s="41" t="s">
        <v>378</v>
      </c>
      <c r="E217" s="48" t="s">
        <v>340</v>
      </c>
      <c r="F217" s="49" t="s">
        <v>157</v>
      </c>
      <c r="G217" s="49"/>
      <c r="H217" s="48" t="s">
        <v>408</v>
      </c>
      <c r="I217" s="41" t="s">
        <v>409</v>
      </c>
      <c r="J217" s="41" t="s">
        <v>410</v>
      </c>
      <c r="K217" s="41" t="s">
        <v>411</v>
      </c>
      <c r="L217" s="49" t="s">
        <v>412</v>
      </c>
      <c r="M217" s="45">
        <v>43878</v>
      </c>
      <c r="N217" s="52" t="s">
        <v>272</v>
      </c>
      <c r="O217" s="46" t="s">
        <v>81</v>
      </c>
      <c r="P217" s="1" t="s">
        <v>0</v>
      </c>
    </row>
    <row r="218" spans="1:16" s="1" customFormat="1" ht="15.75" thickBot="1" x14ac:dyDescent="0.3">
      <c r="A218" s="41" t="s">
        <v>701</v>
      </c>
      <c r="B218" s="41" t="s">
        <v>417</v>
      </c>
      <c r="C218" s="41" t="s">
        <v>418</v>
      </c>
      <c r="D218" s="41" t="s">
        <v>419</v>
      </c>
      <c r="E218" s="41" t="s">
        <v>33</v>
      </c>
      <c r="F218" s="50"/>
      <c r="G218" s="50" t="s">
        <v>794</v>
      </c>
      <c r="H218" s="50" t="s">
        <v>794</v>
      </c>
      <c r="I218" s="41" t="s">
        <v>316</v>
      </c>
      <c r="J218" s="48" t="s">
        <v>791</v>
      </c>
      <c r="K218" s="41" t="s">
        <v>318</v>
      </c>
      <c r="L218" s="44" t="s">
        <v>790</v>
      </c>
      <c r="M218" s="45">
        <v>44000</v>
      </c>
      <c r="N218" s="46" t="s">
        <v>320</v>
      </c>
      <c r="O218" s="46" t="s">
        <v>81</v>
      </c>
      <c r="P218" s="1" t="s">
        <v>0</v>
      </c>
    </row>
    <row r="219" spans="1:16" s="1" customFormat="1" ht="15.75" thickBot="1" x14ac:dyDescent="0.3">
      <c r="A219" s="41" t="s">
        <v>702</v>
      </c>
      <c r="B219" s="41" t="s">
        <v>417</v>
      </c>
      <c r="C219" s="41" t="s">
        <v>418</v>
      </c>
      <c r="D219" s="41" t="s">
        <v>419</v>
      </c>
      <c r="E219" s="41" t="s">
        <v>29</v>
      </c>
      <c r="F219" s="50"/>
      <c r="G219" s="50" t="s">
        <v>792</v>
      </c>
      <c r="H219" s="50" t="s">
        <v>792</v>
      </c>
      <c r="I219" s="41" t="s">
        <v>31</v>
      </c>
      <c r="J219" s="48" t="s">
        <v>791</v>
      </c>
      <c r="K219" s="41" t="s">
        <v>321</v>
      </c>
      <c r="L219" s="44" t="s">
        <v>790</v>
      </c>
      <c r="M219" s="45">
        <v>44000</v>
      </c>
      <c r="N219" s="46" t="s">
        <v>320</v>
      </c>
      <c r="O219" s="46" t="s">
        <v>81</v>
      </c>
      <c r="P219" s="1" t="s">
        <v>0</v>
      </c>
    </row>
    <row r="220" spans="1:16" s="1" customFormat="1" ht="15.75" thickBot="1" x14ac:dyDescent="0.3">
      <c r="A220" s="41" t="s">
        <v>703</v>
      </c>
      <c r="B220" s="41" t="s">
        <v>417</v>
      </c>
      <c r="C220" s="41" t="s">
        <v>418</v>
      </c>
      <c r="D220" s="41" t="s">
        <v>419</v>
      </c>
      <c r="E220" s="41" t="s">
        <v>20</v>
      </c>
      <c r="F220" s="50"/>
      <c r="G220" s="50" t="s">
        <v>793</v>
      </c>
      <c r="H220" s="50" t="s">
        <v>793</v>
      </c>
      <c r="I220" s="41" t="s">
        <v>83</v>
      </c>
      <c r="J220" s="48" t="s">
        <v>791</v>
      </c>
      <c r="K220" s="41" t="s">
        <v>323</v>
      </c>
      <c r="L220" s="44" t="s">
        <v>790</v>
      </c>
      <c r="M220" s="45">
        <v>44000</v>
      </c>
      <c r="N220" s="46" t="s">
        <v>320</v>
      </c>
      <c r="O220" s="46" t="s">
        <v>81</v>
      </c>
      <c r="P220" s="1" t="s">
        <v>0</v>
      </c>
    </row>
    <row r="221" spans="1:16" s="1" customFormat="1" ht="15.75" thickBot="1" x14ac:dyDescent="0.3">
      <c r="A221" s="41" t="s">
        <v>704</v>
      </c>
      <c r="B221" s="41" t="s">
        <v>417</v>
      </c>
      <c r="C221" s="41" t="s">
        <v>418</v>
      </c>
      <c r="D221" s="41" t="s">
        <v>419</v>
      </c>
      <c r="E221" s="41" t="s">
        <v>20</v>
      </c>
      <c r="F221" s="50"/>
      <c r="G221" s="50" t="s">
        <v>420</v>
      </c>
      <c r="H221" s="50" t="s">
        <v>420</v>
      </c>
      <c r="I221" s="48" t="s">
        <v>325</v>
      </c>
      <c r="J221" s="48" t="s">
        <v>421</v>
      </c>
      <c r="K221" s="41" t="s">
        <v>327</v>
      </c>
      <c r="L221" s="49" t="s">
        <v>328</v>
      </c>
      <c r="M221" s="45">
        <v>43551</v>
      </c>
      <c r="N221" s="46" t="s">
        <v>320</v>
      </c>
      <c r="O221" s="46" t="s">
        <v>81</v>
      </c>
      <c r="P221" s="1" t="s">
        <v>0</v>
      </c>
    </row>
    <row r="222" spans="1:16" s="1" customFormat="1" ht="15.75" thickBot="1" x14ac:dyDescent="0.3">
      <c r="A222" s="41" t="s">
        <v>705</v>
      </c>
      <c r="B222" s="41" t="s">
        <v>417</v>
      </c>
      <c r="C222" s="41" t="s">
        <v>418</v>
      </c>
      <c r="D222" s="41" t="s">
        <v>419</v>
      </c>
      <c r="E222" s="41" t="s">
        <v>329</v>
      </c>
      <c r="F222" s="50"/>
      <c r="G222" s="50" t="s">
        <v>420</v>
      </c>
      <c r="H222" s="50" t="s">
        <v>420</v>
      </c>
      <c r="I222" s="48" t="s">
        <v>331</v>
      </c>
      <c r="J222" s="48" t="s">
        <v>421</v>
      </c>
      <c r="K222" s="41" t="s">
        <v>332</v>
      </c>
      <c r="L222" s="49" t="s">
        <v>328</v>
      </c>
      <c r="M222" s="45">
        <v>43551</v>
      </c>
      <c r="N222" s="46" t="s">
        <v>320</v>
      </c>
      <c r="O222" s="46" t="s">
        <v>81</v>
      </c>
      <c r="P222" s="1" t="s">
        <v>0</v>
      </c>
    </row>
    <row r="223" spans="1:16" s="1" customFormat="1" ht="15.75" thickBot="1" x14ac:dyDescent="0.3">
      <c r="A223" s="41" t="s">
        <v>706</v>
      </c>
      <c r="B223" s="41" t="s">
        <v>422</v>
      </c>
      <c r="C223" s="41" t="s">
        <v>418</v>
      </c>
      <c r="D223" s="41" t="s">
        <v>419</v>
      </c>
      <c r="E223" s="41" t="s">
        <v>33</v>
      </c>
      <c r="F223" s="50"/>
      <c r="G223" s="50" t="s">
        <v>794</v>
      </c>
      <c r="H223" s="50" t="s">
        <v>794</v>
      </c>
      <c r="I223" s="41" t="s">
        <v>316</v>
      </c>
      <c r="J223" s="48" t="s">
        <v>791</v>
      </c>
      <c r="K223" s="41" t="s">
        <v>318</v>
      </c>
      <c r="L223" s="44" t="s">
        <v>790</v>
      </c>
      <c r="M223" s="45">
        <v>44000</v>
      </c>
      <c r="N223" s="46" t="s">
        <v>320</v>
      </c>
      <c r="O223" s="46" t="s">
        <v>81</v>
      </c>
      <c r="P223" s="1" t="s">
        <v>0</v>
      </c>
    </row>
    <row r="224" spans="1:16" s="1" customFormat="1" ht="15.75" thickBot="1" x14ac:dyDescent="0.3">
      <c r="A224" s="41" t="s">
        <v>707</v>
      </c>
      <c r="B224" s="41" t="s">
        <v>422</v>
      </c>
      <c r="C224" s="41" t="s">
        <v>418</v>
      </c>
      <c r="D224" s="41" t="s">
        <v>419</v>
      </c>
      <c r="E224" s="41" t="s">
        <v>29</v>
      </c>
      <c r="F224" s="50"/>
      <c r="G224" s="50" t="s">
        <v>792</v>
      </c>
      <c r="H224" s="50" t="s">
        <v>792</v>
      </c>
      <c r="I224" s="41" t="s">
        <v>31</v>
      </c>
      <c r="J224" s="48" t="s">
        <v>791</v>
      </c>
      <c r="K224" s="41" t="s">
        <v>321</v>
      </c>
      <c r="L224" s="44" t="s">
        <v>790</v>
      </c>
      <c r="M224" s="45">
        <v>44000</v>
      </c>
      <c r="N224" s="46" t="s">
        <v>320</v>
      </c>
      <c r="O224" s="46" t="s">
        <v>81</v>
      </c>
      <c r="P224" s="1" t="s">
        <v>0</v>
      </c>
    </row>
    <row r="225" spans="1:16" s="1" customFormat="1" ht="15.75" thickBot="1" x14ac:dyDescent="0.3">
      <c r="A225" s="41" t="s">
        <v>708</v>
      </c>
      <c r="B225" s="41" t="s">
        <v>422</v>
      </c>
      <c r="C225" s="41" t="s">
        <v>418</v>
      </c>
      <c r="D225" s="41" t="s">
        <v>419</v>
      </c>
      <c r="E225" s="41" t="s">
        <v>20</v>
      </c>
      <c r="F225" s="50"/>
      <c r="G225" s="50" t="s">
        <v>793</v>
      </c>
      <c r="H225" s="50" t="s">
        <v>793</v>
      </c>
      <c r="I225" s="41" t="s">
        <v>83</v>
      </c>
      <c r="J225" s="48" t="s">
        <v>791</v>
      </c>
      <c r="K225" s="41" t="s">
        <v>323</v>
      </c>
      <c r="L225" s="44" t="s">
        <v>790</v>
      </c>
      <c r="M225" s="45">
        <v>44000</v>
      </c>
      <c r="N225" s="46" t="s">
        <v>320</v>
      </c>
      <c r="O225" s="46" t="s">
        <v>81</v>
      </c>
      <c r="P225" s="1" t="s">
        <v>0</v>
      </c>
    </row>
    <row r="226" spans="1:16" s="1" customFormat="1" ht="15.75" thickBot="1" x14ac:dyDescent="0.3">
      <c r="A226" s="41" t="s">
        <v>709</v>
      </c>
      <c r="B226" s="41" t="s">
        <v>422</v>
      </c>
      <c r="C226" s="41" t="s">
        <v>418</v>
      </c>
      <c r="D226" s="41" t="s">
        <v>419</v>
      </c>
      <c r="E226" s="41" t="s">
        <v>20</v>
      </c>
      <c r="F226" s="50"/>
      <c r="G226" s="50" t="s">
        <v>420</v>
      </c>
      <c r="H226" s="50" t="s">
        <v>420</v>
      </c>
      <c r="I226" s="48" t="s">
        <v>325</v>
      </c>
      <c r="J226" s="48" t="s">
        <v>421</v>
      </c>
      <c r="K226" s="41" t="s">
        <v>327</v>
      </c>
      <c r="L226" s="49" t="s">
        <v>328</v>
      </c>
      <c r="M226" s="45">
        <v>43551</v>
      </c>
      <c r="N226" s="46" t="s">
        <v>320</v>
      </c>
      <c r="O226" s="46" t="s">
        <v>81</v>
      </c>
      <c r="P226" s="1" t="s">
        <v>0</v>
      </c>
    </row>
    <row r="227" spans="1:16" s="1" customFormat="1" ht="15.75" thickBot="1" x14ac:dyDescent="0.3">
      <c r="A227" s="41" t="s">
        <v>710</v>
      </c>
      <c r="B227" s="41" t="s">
        <v>422</v>
      </c>
      <c r="C227" s="41" t="s">
        <v>418</v>
      </c>
      <c r="D227" s="41" t="s">
        <v>419</v>
      </c>
      <c r="E227" s="41" t="s">
        <v>329</v>
      </c>
      <c r="F227" s="50"/>
      <c r="G227" s="50" t="s">
        <v>420</v>
      </c>
      <c r="H227" s="50" t="s">
        <v>420</v>
      </c>
      <c r="I227" s="48" t="s">
        <v>331</v>
      </c>
      <c r="J227" s="48" t="s">
        <v>421</v>
      </c>
      <c r="K227" s="41" t="s">
        <v>332</v>
      </c>
      <c r="L227" s="49" t="s">
        <v>328</v>
      </c>
      <c r="M227" s="45">
        <v>43551</v>
      </c>
      <c r="N227" s="46" t="s">
        <v>320</v>
      </c>
      <c r="O227" s="46" t="s">
        <v>81</v>
      </c>
      <c r="P227" s="1" t="s">
        <v>0</v>
      </c>
    </row>
    <row r="228" spans="1:16" s="1" customFormat="1" ht="15.75" thickBot="1" x14ac:dyDescent="0.3">
      <c r="A228" s="41" t="s">
        <v>711</v>
      </c>
      <c r="B228" s="41" t="s">
        <v>423</v>
      </c>
      <c r="C228" s="41" t="s">
        <v>424</v>
      </c>
      <c r="D228" s="41" t="s">
        <v>419</v>
      </c>
      <c r="E228" s="41" t="s">
        <v>33</v>
      </c>
      <c r="F228" s="50"/>
      <c r="G228" s="50" t="s">
        <v>794</v>
      </c>
      <c r="H228" s="50" t="s">
        <v>794</v>
      </c>
      <c r="I228" s="41" t="s">
        <v>316</v>
      </c>
      <c r="J228" s="48" t="s">
        <v>791</v>
      </c>
      <c r="K228" s="41" t="s">
        <v>318</v>
      </c>
      <c r="L228" s="44" t="s">
        <v>790</v>
      </c>
      <c r="M228" s="45">
        <v>44000</v>
      </c>
      <c r="N228" s="46" t="s">
        <v>320</v>
      </c>
      <c r="O228" s="46" t="s">
        <v>81</v>
      </c>
      <c r="P228" s="1" t="s">
        <v>0</v>
      </c>
    </row>
    <row r="229" spans="1:16" s="1" customFormat="1" ht="15.75" thickBot="1" x14ac:dyDescent="0.3">
      <c r="A229" s="41" t="s">
        <v>712</v>
      </c>
      <c r="B229" s="41" t="s">
        <v>423</v>
      </c>
      <c r="C229" s="41" t="s">
        <v>424</v>
      </c>
      <c r="D229" s="41" t="s">
        <v>419</v>
      </c>
      <c r="E229" s="41" t="s">
        <v>29</v>
      </c>
      <c r="F229" s="50"/>
      <c r="G229" s="50" t="s">
        <v>792</v>
      </c>
      <c r="H229" s="50" t="s">
        <v>792</v>
      </c>
      <c r="I229" s="41" t="s">
        <v>31</v>
      </c>
      <c r="J229" s="48" t="s">
        <v>791</v>
      </c>
      <c r="K229" s="41" t="s">
        <v>321</v>
      </c>
      <c r="L229" s="44" t="s">
        <v>790</v>
      </c>
      <c r="M229" s="45">
        <v>44000</v>
      </c>
      <c r="N229" s="46" t="s">
        <v>320</v>
      </c>
      <c r="O229" s="46" t="s">
        <v>81</v>
      </c>
      <c r="P229" s="1" t="s">
        <v>0</v>
      </c>
    </row>
    <row r="230" spans="1:16" s="1" customFormat="1" ht="15.75" thickBot="1" x14ac:dyDescent="0.3">
      <c r="A230" s="41" t="s">
        <v>713</v>
      </c>
      <c r="B230" s="41" t="s">
        <v>423</v>
      </c>
      <c r="C230" s="41" t="s">
        <v>424</v>
      </c>
      <c r="D230" s="41" t="s">
        <v>419</v>
      </c>
      <c r="E230" s="41" t="s">
        <v>20</v>
      </c>
      <c r="F230" s="50"/>
      <c r="G230" s="50" t="s">
        <v>793</v>
      </c>
      <c r="H230" s="50" t="s">
        <v>793</v>
      </c>
      <c r="I230" s="41" t="s">
        <v>83</v>
      </c>
      <c r="J230" s="48" t="s">
        <v>791</v>
      </c>
      <c r="K230" s="41" t="s">
        <v>323</v>
      </c>
      <c r="L230" s="44" t="s">
        <v>790</v>
      </c>
      <c r="M230" s="45">
        <v>44000</v>
      </c>
      <c r="N230" s="46" t="s">
        <v>320</v>
      </c>
      <c r="O230" s="46" t="s">
        <v>81</v>
      </c>
      <c r="P230" s="1" t="s">
        <v>0</v>
      </c>
    </row>
    <row r="231" spans="1:16" s="1" customFormat="1" ht="15.75" thickBot="1" x14ac:dyDescent="0.3">
      <c r="A231" s="41" t="s">
        <v>714</v>
      </c>
      <c r="B231" s="41" t="s">
        <v>423</v>
      </c>
      <c r="C231" s="41" t="s">
        <v>424</v>
      </c>
      <c r="D231" s="41" t="s">
        <v>419</v>
      </c>
      <c r="E231" s="41" t="s">
        <v>20</v>
      </c>
      <c r="F231" s="50"/>
      <c r="G231" s="50" t="s">
        <v>420</v>
      </c>
      <c r="H231" s="50" t="s">
        <v>420</v>
      </c>
      <c r="I231" s="48" t="s">
        <v>325</v>
      </c>
      <c r="J231" s="48" t="s">
        <v>421</v>
      </c>
      <c r="K231" s="41" t="s">
        <v>327</v>
      </c>
      <c r="L231" s="49" t="s">
        <v>328</v>
      </c>
      <c r="M231" s="45">
        <v>43496</v>
      </c>
      <c r="N231" s="46" t="s">
        <v>320</v>
      </c>
      <c r="O231" s="46" t="s">
        <v>81</v>
      </c>
      <c r="P231" s="1" t="s">
        <v>0</v>
      </c>
    </row>
    <row r="232" spans="1:16" s="1" customFormat="1" ht="15.75" thickBot="1" x14ac:dyDescent="0.3">
      <c r="A232" s="41" t="s">
        <v>715</v>
      </c>
      <c r="B232" s="41" t="s">
        <v>423</v>
      </c>
      <c r="C232" s="41" t="s">
        <v>424</v>
      </c>
      <c r="D232" s="41" t="s">
        <v>419</v>
      </c>
      <c r="E232" s="41" t="s">
        <v>329</v>
      </c>
      <c r="F232" s="50"/>
      <c r="G232" s="50" t="s">
        <v>420</v>
      </c>
      <c r="H232" s="50" t="s">
        <v>420</v>
      </c>
      <c r="I232" s="48" t="s">
        <v>331</v>
      </c>
      <c r="J232" s="48" t="s">
        <v>421</v>
      </c>
      <c r="K232" s="41" t="s">
        <v>332</v>
      </c>
      <c r="L232" s="49" t="s">
        <v>328</v>
      </c>
      <c r="M232" s="45">
        <v>43724</v>
      </c>
      <c r="N232" s="46" t="s">
        <v>320</v>
      </c>
      <c r="O232" s="46" t="s">
        <v>81</v>
      </c>
      <c r="P232" s="1" t="s">
        <v>0</v>
      </c>
    </row>
    <row r="233" spans="1:16" s="1" customFormat="1" ht="15.75" thickBot="1" x14ac:dyDescent="0.3">
      <c r="A233" s="41" t="s">
        <v>716</v>
      </c>
      <c r="B233" s="41" t="s">
        <v>425</v>
      </c>
      <c r="C233" s="41" t="s">
        <v>424</v>
      </c>
      <c r="D233" s="41" t="s">
        <v>419</v>
      </c>
      <c r="E233" s="41" t="s">
        <v>33</v>
      </c>
      <c r="F233" s="50"/>
      <c r="G233" s="50" t="s">
        <v>794</v>
      </c>
      <c r="H233" s="50" t="s">
        <v>794</v>
      </c>
      <c r="I233" s="41" t="s">
        <v>316</v>
      </c>
      <c r="J233" s="48" t="s">
        <v>791</v>
      </c>
      <c r="K233" s="41" t="s">
        <v>318</v>
      </c>
      <c r="L233" s="44" t="s">
        <v>790</v>
      </c>
      <c r="M233" s="45">
        <v>44000</v>
      </c>
      <c r="N233" s="46" t="s">
        <v>320</v>
      </c>
      <c r="O233" s="46" t="s">
        <v>81</v>
      </c>
      <c r="P233" s="1" t="s">
        <v>0</v>
      </c>
    </row>
    <row r="234" spans="1:16" s="1" customFormat="1" ht="15.75" thickBot="1" x14ac:dyDescent="0.3">
      <c r="A234" s="41" t="s">
        <v>717</v>
      </c>
      <c r="B234" s="41" t="s">
        <v>425</v>
      </c>
      <c r="C234" s="41" t="s">
        <v>424</v>
      </c>
      <c r="D234" s="41" t="s">
        <v>419</v>
      </c>
      <c r="E234" s="41" t="s">
        <v>29</v>
      </c>
      <c r="F234" s="50"/>
      <c r="G234" s="50" t="s">
        <v>792</v>
      </c>
      <c r="H234" s="50" t="s">
        <v>792</v>
      </c>
      <c r="I234" s="41" t="s">
        <v>31</v>
      </c>
      <c r="J234" s="48" t="s">
        <v>791</v>
      </c>
      <c r="K234" s="41" t="s">
        <v>321</v>
      </c>
      <c r="L234" s="44" t="s">
        <v>790</v>
      </c>
      <c r="M234" s="45">
        <v>44000</v>
      </c>
      <c r="N234" s="46" t="s">
        <v>320</v>
      </c>
      <c r="O234" s="46" t="s">
        <v>81</v>
      </c>
      <c r="P234" s="1" t="s">
        <v>0</v>
      </c>
    </row>
    <row r="235" spans="1:16" s="1" customFormat="1" ht="15.75" thickBot="1" x14ac:dyDescent="0.3">
      <c r="A235" s="41" t="s">
        <v>718</v>
      </c>
      <c r="B235" s="41" t="s">
        <v>425</v>
      </c>
      <c r="C235" s="41" t="s">
        <v>424</v>
      </c>
      <c r="D235" s="41" t="s">
        <v>419</v>
      </c>
      <c r="E235" s="41" t="s">
        <v>20</v>
      </c>
      <c r="F235" s="50"/>
      <c r="G235" s="50" t="s">
        <v>793</v>
      </c>
      <c r="H235" s="50" t="s">
        <v>793</v>
      </c>
      <c r="I235" s="41" t="s">
        <v>83</v>
      </c>
      <c r="J235" s="48" t="s">
        <v>791</v>
      </c>
      <c r="K235" s="41" t="s">
        <v>323</v>
      </c>
      <c r="L235" s="44" t="s">
        <v>790</v>
      </c>
      <c r="M235" s="45">
        <v>44000</v>
      </c>
      <c r="N235" s="46" t="s">
        <v>320</v>
      </c>
      <c r="O235" s="46" t="s">
        <v>81</v>
      </c>
      <c r="P235" s="1" t="s">
        <v>0</v>
      </c>
    </row>
    <row r="236" spans="1:16" s="1" customFormat="1" ht="15.75" thickBot="1" x14ac:dyDescent="0.3">
      <c r="A236" s="41" t="s">
        <v>719</v>
      </c>
      <c r="B236" s="41" t="s">
        <v>425</v>
      </c>
      <c r="C236" s="41" t="s">
        <v>424</v>
      </c>
      <c r="D236" s="41" t="s">
        <v>419</v>
      </c>
      <c r="E236" s="41" t="s">
        <v>20</v>
      </c>
      <c r="F236" s="50"/>
      <c r="G236" s="50" t="s">
        <v>420</v>
      </c>
      <c r="H236" s="50" t="s">
        <v>420</v>
      </c>
      <c r="I236" s="48" t="s">
        <v>325</v>
      </c>
      <c r="J236" s="48" t="s">
        <v>421</v>
      </c>
      <c r="K236" s="41" t="s">
        <v>327</v>
      </c>
      <c r="L236" s="49" t="s">
        <v>328</v>
      </c>
      <c r="M236" s="45">
        <v>43496</v>
      </c>
      <c r="N236" s="46" t="s">
        <v>320</v>
      </c>
      <c r="O236" s="46" t="s">
        <v>81</v>
      </c>
      <c r="P236" s="1" t="s">
        <v>0</v>
      </c>
    </row>
    <row r="237" spans="1:16" s="1" customFormat="1" ht="15.75" thickBot="1" x14ac:dyDescent="0.3">
      <c r="A237" s="41" t="s">
        <v>720</v>
      </c>
      <c r="B237" s="41" t="s">
        <v>425</v>
      </c>
      <c r="C237" s="41" t="s">
        <v>424</v>
      </c>
      <c r="D237" s="41" t="s">
        <v>419</v>
      </c>
      <c r="E237" s="41" t="s">
        <v>329</v>
      </c>
      <c r="F237" s="50"/>
      <c r="G237" s="50" t="s">
        <v>420</v>
      </c>
      <c r="H237" s="50" t="s">
        <v>420</v>
      </c>
      <c r="I237" s="48" t="s">
        <v>331</v>
      </c>
      <c r="J237" s="48" t="s">
        <v>421</v>
      </c>
      <c r="K237" s="41" t="s">
        <v>332</v>
      </c>
      <c r="L237" s="49" t="s">
        <v>328</v>
      </c>
      <c r="M237" s="45">
        <v>43724</v>
      </c>
      <c r="N237" s="46" t="s">
        <v>320</v>
      </c>
      <c r="O237" s="46" t="s">
        <v>81</v>
      </c>
      <c r="P237" s="1" t="s">
        <v>0</v>
      </c>
    </row>
    <row r="238" spans="1:16" s="1" customFormat="1" ht="15.75" thickBot="1" x14ac:dyDescent="0.3">
      <c r="A238" s="41" t="s">
        <v>721</v>
      </c>
      <c r="B238" s="47" t="s">
        <v>426</v>
      </c>
      <c r="C238" s="41" t="s">
        <v>427</v>
      </c>
      <c r="D238" s="41" t="s">
        <v>428</v>
      </c>
      <c r="E238" s="41" t="s">
        <v>20</v>
      </c>
      <c r="F238" s="48" t="s">
        <v>429</v>
      </c>
      <c r="G238" s="48" t="s">
        <v>430</v>
      </c>
      <c r="H238" s="48" t="s">
        <v>431</v>
      </c>
      <c r="I238" s="41" t="s">
        <v>136</v>
      </c>
      <c r="J238" s="41" t="s">
        <v>432</v>
      </c>
      <c r="K238" s="41" t="s">
        <v>138</v>
      </c>
      <c r="L238" s="44" t="s">
        <v>433</v>
      </c>
      <c r="M238" s="45">
        <v>43725</v>
      </c>
      <c r="N238" s="46" t="s">
        <v>434</v>
      </c>
      <c r="O238" s="46" t="s">
        <v>81</v>
      </c>
      <c r="P238" s="1" t="s">
        <v>0</v>
      </c>
    </row>
    <row r="239" spans="1:16" s="1" customFormat="1" ht="15.75" thickBot="1" x14ac:dyDescent="0.3">
      <c r="A239" s="41" t="s">
        <v>722</v>
      </c>
      <c r="B239" s="41" t="s">
        <v>435</v>
      </c>
      <c r="C239" s="41" t="s">
        <v>436</v>
      </c>
      <c r="D239" s="41" t="s">
        <v>437</v>
      </c>
      <c r="E239" s="41" t="s">
        <v>33</v>
      </c>
      <c r="F239" s="50"/>
      <c r="G239" s="50" t="s">
        <v>798</v>
      </c>
      <c r="H239" s="50" t="s">
        <v>799</v>
      </c>
      <c r="I239" s="41" t="s">
        <v>316</v>
      </c>
      <c r="J239" s="48" t="s">
        <v>797</v>
      </c>
      <c r="K239" s="41" t="s">
        <v>34</v>
      </c>
      <c r="L239" s="44" t="s">
        <v>92</v>
      </c>
      <c r="M239" s="45">
        <v>43945</v>
      </c>
      <c r="N239" s="46" t="s">
        <v>320</v>
      </c>
      <c r="O239" s="46" t="s">
        <v>81</v>
      </c>
      <c r="P239" s="1" t="s">
        <v>0</v>
      </c>
    </row>
    <row r="240" spans="1:16" s="1" customFormat="1" ht="15.75" thickBot="1" x14ac:dyDescent="0.3">
      <c r="A240" s="41" t="s">
        <v>723</v>
      </c>
      <c r="B240" s="41" t="s">
        <v>435</v>
      </c>
      <c r="C240" s="41" t="s">
        <v>436</v>
      </c>
      <c r="D240" s="41" t="s">
        <v>437</v>
      </c>
      <c r="E240" s="41" t="s">
        <v>29</v>
      </c>
      <c r="F240" s="50"/>
      <c r="G240" s="50" t="s">
        <v>798</v>
      </c>
      <c r="H240" s="50" t="s">
        <v>799</v>
      </c>
      <c r="I240" s="41" t="s">
        <v>31</v>
      </c>
      <c r="J240" s="48" t="s">
        <v>797</v>
      </c>
      <c r="K240" s="41" t="s">
        <v>31</v>
      </c>
      <c r="L240" s="44" t="s">
        <v>92</v>
      </c>
      <c r="M240" s="45">
        <v>43945</v>
      </c>
      <c r="N240" s="46" t="s">
        <v>320</v>
      </c>
      <c r="O240" s="46" t="s">
        <v>81</v>
      </c>
      <c r="P240" s="1" t="s">
        <v>0</v>
      </c>
    </row>
    <row r="241" spans="1:16" s="1" customFormat="1" ht="15.75" thickBot="1" x14ac:dyDescent="0.3">
      <c r="A241" s="41" t="s">
        <v>724</v>
      </c>
      <c r="B241" s="41" t="s">
        <v>435</v>
      </c>
      <c r="C241" s="41" t="s">
        <v>436</v>
      </c>
      <c r="D241" s="41" t="s">
        <v>437</v>
      </c>
      <c r="E241" s="41" t="s">
        <v>20</v>
      </c>
      <c r="F241" s="50"/>
      <c r="G241" s="50" t="s">
        <v>438</v>
      </c>
      <c r="H241" s="50" t="s">
        <v>438</v>
      </c>
      <c r="I241" s="41" t="s">
        <v>439</v>
      </c>
      <c r="J241" s="48" t="s">
        <v>440</v>
      </c>
      <c r="K241" s="41" t="s">
        <v>441</v>
      </c>
      <c r="L241" s="49" t="s">
        <v>442</v>
      </c>
      <c r="M241" s="45">
        <v>43818</v>
      </c>
      <c r="N241" s="46" t="s">
        <v>320</v>
      </c>
      <c r="O241" s="46" t="s">
        <v>81</v>
      </c>
      <c r="P241" s="1" t="s">
        <v>0</v>
      </c>
    </row>
    <row r="242" spans="1:16" s="1" customFormat="1" ht="15.75" thickBot="1" x14ac:dyDescent="0.3">
      <c r="A242" s="41" t="s">
        <v>725</v>
      </c>
      <c r="B242" s="41" t="s">
        <v>435</v>
      </c>
      <c r="C242" s="41" t="s">
        <v>436</v>
      </c>
      <c r="D242" s="41" t="s">
        <v>437</v>
      </c>
      <c r="E242" s="41" t="s">
        <v>33</v>
      </c>
      <c r="F242" s="50"/>
      <c r="G242" s="50" t="s">
        <v>438</v>
      </c>
      <c r="H242" s="50" t="s">
        <v>438</v>
      </c>
      <c r="I242" s="48" t="s">
        <v>355</v>
      </c>
      <c r="J242" s="48" t="s">
        <v>440</v>
      </c>
      <c r="K242" s="41" t="s">
        <v>443</v>
      </c>
      <c r="L242" s="49" t="s">
        <v>442</v>
      </c>
      <c r="M242" s="45">
        <v>43818</v>
      </c>
      <c r="N242" s="46" t="s">
        <v>320</v>
      </c>
      <c r="O242" s="46" t="s">
        <v>81</v>
      </c>
      <c r="P242" s="1" t="s">
        <v>0</v>
      </c>
    </row>
    <row r="243" spans="1:16" s="1" customFormat="1" ht="15.75" thickBot="1" x14ac:dyDescent="0.3">
      <c r="A243" s="41" t="s">
        <v>726</v>
      </c>
      <c r="B243" s="41" t="s">
        <v>435</v>
      </c>
      <c r="C243" s="41" t="s">
        <v>436</v>
      </c>
      <c r="D243" s="41" t="s">
        <v>437</v>
      </c>
      <c r="E243" s="41" t="s">
        <v>444</v>
      </c>
      <c r="F243" s="50"/>
      <c r="G243" s="50" t="s">
        <v>445</v>
      </c>
      <c r="H243" s="50" t="s">
        <v>446</v>
      </c>
      <c r="I243" s="48" t="s">
        <v>447</v>
      </c>
      <c r="J243" s="48" t="s">
        <v>448</v>
      </c>
      <c r="K243" s="41" t="s">
        <v>449</v>
      </c>
      <c r="L243" s="49" t="s">
        <v>328</v>
      </c>
      <c r="M243" s="45">
        <v>43760</v>
      </c>
      <c r="N243" s="46" t="s">
        <v>320</v>
      </c>
      <c r="O243" s="46" t="s">
        <v>81</v>
      </c>
      <c r="P243" s="1" t="s">
        <v>0</v>
      </c>
    </row>
    <row r="244" spans="1:16" s="1" customFormat="1" ht="15.75" thickBot="1" x14ac:dyDescent="0.3">
      <c r="A244" s="41" t="s">
        <v>727</v>
      </c>
      <c r="B244" s="41" t="s">
        <v>435</v>
      </c>
      <c r="C244" s="41" t="s">
        <v>436</v>
      </c>
      <c r="D244" s="41" t="s">
        <v>437</v>
      </c>
      <c r="E244" s="41" t="s">
        <v>450</v>
      </c>
      <c r="F244" s="50"/>
      <c r="G244" s="50" t="s">
        <v>445</v>
      </c>
      <c r="H244" s="50" t="s">
        <v>446</v>
      </c>
      <c r="I244" s="48" t="s">
        <v>451</v>
      </c>
      <c r="J244" s="48" t="s">
        <v>448</v>
      </c>
      <c r="K244" s="41" t="s">
        <v>452</v>
      </c>
      <c r="L244" s="49" t="s">
        <v>328</v>
      </c>
      <c r="M244" s="45">
        <v>43760</v>
      </c>
      <c r="N244" s="46" t="s">
        <v>320</v>
      </c>
      <c r="O244" s="46" t="s">
        <v>81</v>
      </c>
      <c r="P244" s="1" t="s">
        <v>0</v>
      </c>
    </row>
    <row r="245" spans="1:16" s="1" customFormat="1" ht="15.75" thickBot="1" x14ac:dyDescent="0.3">
      <c r="A245" s="41" t="s">
        <v>728</v>
      </c>
      <c r="B245" s="41" t="s">
        <v>435</v>
      </c>
      <c r="C245" s="41" t="s">
        <v>436</v>
      </c>
      <c r="D245" s="41" t="s">
        <v>437</v>
      </c>
      <c r="E245" s="41" t="s">
        <v>444</v>
      </c>
      <c r="F245" s="50"/>
      <c r="G245" s="50" t="s">
        <v>453</v>
      </c>
      <c r="H245" s="50" t="s">
        <v>454</v>
      </c>
      <c r="I245" s="48" t="s">
        <v>447</v>
      </c>
      <c r="J245" s="48" t="s">
        <v>455</v>
      </c>
      <c r="K245" s="41" t="s">
        <v>449</v>
      </c>
      <c r="L245" s="49" t="s">
        <v>456</v>
      </c>
      <c r="M245" s="45">
        <v>43760</v>
      </c>
      <c r="N245" s="46" t="s">
        <v>320</v>
      </c>
      <c r="O245" s="46" t="s">
        <v>81</v>
      </c>
      <c r="P245" s="1" t="s">
        <v>0</v>
      </c>
    </row>
    <row r="246" spans="1:16" s="1" customFormat="1" ht="15.75" thickBot="1" x14ac:dyDescent="0.3">
      <c r="A246" s="41" t="s">
        <v>729</v>
      </c>
      <c r="B246" s="41" t="s">
        <v>435</v>
      </c>
      <c r="C246" s="41" t="s">
        <v>436</v>
      </c>
      <c r="D246" s="41" t="s">
        <v>437</v>
      </c>
      <c r="E246" s="41" t="s">
        <v>450</v>
      </c>
      <c r="F246" s="50"/>
      <c r="G246" s="50" t="s">
        <v>453</v>
      </c>
      <c r="H246" s="50" t="s">
        <v>454</v>
      </c>
      <c r="I246" s="48" t="s">
        <v>451</v>
      </c>
      <c r="J246" s="48" t="s">
        <v>455</v>
      </c>
      <c r="K246" s="41" t="s">
        <v>452</v>
      </c>
      <c r="L246" s="49" t="s">
        <v>456</v>
      </c>
      <c r="M246" s="45">
        <v>43760</v>
      </c>
      <c r="N246" s="46" t="s">
        <v>320</v>
      </c>
      <c r="O246" s="46" t="s">
        <v>81</v>
      </c>
      <c r="P246" s="1" t="s">
        <v>0</v>
      </c>
    </row>
    <row r="247" spans="1:16" s="1" customFormat="1" ht="15.75" thickBot="1" x14ac:dyDescent="0.3">
      <c r="A247" s="41" t="s">
        <v>730</v>
      </c>
      <c r="B247" s="41" t="s">
        <v>435</v>
      </c>
      <c r="C247" s="41" t="s">
        <v>436</v>
      </c>
      <c r="D247" s="41" t="s">
        <v>437</v>
      </c>
      <c r="E247" s="41" t="s">
        <v>450</v>
      </c>
      <c r="F247" s="50"/>
      <c r="G247" s="50"/>
      <c r="H247" s="50" t="s">
        <v>457</v>
      </c>
      <c r="I247" s="48" t="s">
        <v>458</v>
      </c>
      <c r="J247" s="48" t="s">
        <v>459</v>
      </c>
      <c r="K247" s="41" t="s">
        <v>460</v>
      </c>
      <c r="L247" s="49" t="s">
        <v>328</v>
      </c>
      <c r="M247" s="45">
        <v>43760</v>
      </c>
      <c r="N247" s="46" t="s">
        <v>320</v>
      </c>
      <c r="O247" s="46" t="s">
        <v>81</v>
      </c>
      <c r="P247" s="1" t="s">
        <v>0</v>
      </c>
    </row>
    <row r="248" spans="1:16" s="1" customFormat="1" ht="15.75" thickBot="1" x14ac:dyDescent="0.3">
      <c r="A248" s="41" t="s">
        <v>731</v>
      </c>
      <c r="B248" s="41" t="s">
        <v>461</v>
      </c>
      <c r="C248" s="41" t="s">
        <v>462</v>
      </c>
      <c r="D248" s="41" t="s">
        <v>437</v>
      </c>
      <c r="E248" s="41" t="s">
        <v>33</v>
      </c>
      <c r="F248" s="50"/>
      <c r="G248" s="50" t="s">
        <v>798</v>
      </c>
      <c r="H248" s="50" t="s">
        <v>799</v>
      </c>
      <c r="I248" s="41" t="s">
        <v>316</v>
      </c>
      <c r="J248" s="48" t="s">
        <v>797</v>
      </c>
      <c r="K248" s="41" t="s">
        <v>34</v>
      </c>
      <c r="L248" s="44" t="s">
        <v>92</v>
      </c>
      <c r="M248" s="45">
        <v>43945</v>
      </c>
      <c r="N248" s="46" t="s">
        <v>320</v>
      </c>
      <c r="O248" s="46" t="s">
        <v>81</v>
      </c>
      <c r="P248" s="1" t="s">
        <v>0</v>
      </c>
    </row>
    <row r="249" spans="1:16" s="1" customFormat="1" ht="15.75" thickBot="1" x14ac:dyDescent="0.3">
      <c r="A249" s="41" t="s">
        <v>732</v>
      </c>
      <c r="B249" s="41" t="s">
        <v>461</v>
      </c>
      <c r="C249" s="41" t="s">
        <v>462</v>
      </c>
      <c r="D249" s="41" t="s">
        <v>437</v>
      </c>
      <c r="E249" s="41" t="s">
        <v>29</v>
      </c>
      <c r="F249" s="50"/>
      <c r="G249" s="50" t="s">
        <v>798</v>
      </c>
      <c r="H249" s="50" t="s">
        <v>799</v>
      </c>
      <c r="I249" s="41" t="s">
        <v>31</v>
      </c>
      <c r="J249" s="48" t="s">
        <v>797</v>
      </c>
      <c r="K249" s="41" t="s">
        <v>31</v>
      </c>
      <c r="L249" s="44" t="s">
        <v>92</v>
      </c>
      <c r="M249" s="45">
        <v>43945</v>
      </c>
      <c r="N249" s="46" t="s">
        <v>320</v>
      </c>
      <c r="O249" s="46" t="s">
        <v>81</v>
      </c>
      <c r="P249" s="1" t="s">
        <v>0</v>
      </c>
    </row>
    <row r="250" spans="1:16" s="1" customFormat="1" ht="15.75" thickBot="1" x14ac:dyDescent="0.3">
      <c r="A250" s="41" t="s">
        <v>733</v>
      </c>
      <c r="B250" s="41" t="s">
        <v>461</v>
      </c>
      <c r="C250" s="41" t="s">
        <v>462</v>
      </c>
      <c r="D250" s="41" t="s">
        <v>437</v>
      </c>
      <c r="E250" s="41" t="s">
        <v>20</v>
      </c>
      <c r="F250" s="50"/>
      <c r="G250" s="50" t="s">
        <v>438</v>
      </c>
      <c r="H250" s="50" t="s">
        <v>438</v>
      </c>
      <c r="I250" s="41" t="s">
        <v>439</v>
      </c>
      <c r="J250" s="48" t="s">
        <v>440</v>
      </c>
      <c r="K250" s="41" t="s">
        <v>441</v>
      </c>
      <c r="L250" s="49" t="s">
        <v>442</v>
      </c>
      <c r="M250" s="45">
        <v>43818</v>
      </c>
      <c r="N250" s="46" t="s">
        <v>320</v>
      </c>
      <c r="O250" s="46" t="s">
        <v>81</v>
      </c>
      <c r="P250" s="1" t="s">
        <v>0</v>
      </c>
    </row>
    <row r="251" spans="1:16" s="1" customFormat="1" ht="15.75" thickBot="1" x14ac:dyDescent="0.3">
      <c r="A251" s="41" t="s">
        <v>734</v>
      </c>
      <c r="B251" s="41" t="s">
        <v>461</v>
      </c>
      <c r="C251" s="41" t="s">
        <v>462</v>
      </c>
      <c r="D251" s="41" t="s">
        <v>437</v>
      </c>
      <c r="E251" s="41" t="s">
        <v>33</v>
      </c>
      <c r="F251" s="50"/>
      <c r="G251" s="50" t="s">
        <v>438</v>
      </c>
      <c r="H251" s="50" t="s">
        <v>438</v>
      </c>
      <c r="I251" s="48" t="s">
        <v>355</v>
      </c>
      <c r="J251" s="48" t="s">
        <v>440</v>
      </c>
      <c r="K251" s="41" t="s">
        <v>443</v>
      </c>
      <c r="L251" s="49" t="s">
        <v>442</v>
      </c>
      <c r="M251" s="45">
        <v>43818</v>
      </c>
      <c r="N251" s="46" t="s">
        <v>320</v>
      </c>
      <c r="O251" s="46" t="s">
        <v>81</v>
      </c>
      <c r="P251" s="1" t="s">
        <v>0</v>
      </c>
    </row>
    <row r="252" spans="1:16" s="1" customFormat="1" ht="15.75" thickBot="1" x14ac:dyDescent="0.3">
      <c r="A252" s="41" t="s">
        <v>735</v>
      </c>
      <c r="B252" s="41" t="s">
        <v>461</v>
      </c>
      <c r="C252" s="41" t="s">
        <v>462</v>
      </c>
      <c r="D252" s="41" t="s">
        <v>437</v>
      </c>
      <c r="E252" s="41" t="s">
        <v>444</v>
      </c>
      <c r="F252" s="50"/>
      <c r="G252" s="50" t="s">
        <v>445</v>
      </c>
      <c r="H252" s="50" t="s">
        <v>446</v>
      </c>
      <c r="I252" s="48" t="s">
        <v>447</v>
      </c>
      <c r="J252" s="48" t="s">
        <v>448</v>
      </c>
      <c r="K252" s="41" t="s">
        <v>449</v>
      </c>
      <c r="L252" s="49" t="s">
        <v>328</v>
      </c>
      <c r="M252" s="45">
        <v>43760</v>
      </c>
      <c r="N252" s="46" t="s">
        <v>320</v>
      </c>
      <c r="O252" s="46" t="s">
        <v>81</v>
      </c>
      <c r="P252" s="1" t="s">
        <v>0</v>
      </c>
    </row>
    <row r="253" spans="1:16" s="1" customFormat="1" ht="15.75" thickBot="1" x14ac:dyDescent="0.3">
      <c r="A253" s="41" t="s">
        <v>736</v>
      </c>
      <c r="B253" s="41" t="s">
        <v>461</v>
      </c>
      <c r="C253" s="41" t="s">
        <v>462</v>
      </c>
      <c r="D253" s="41" t="s">
        <v>437</v>
      </c>
      <c r="E253" s="41" t="s">
        <v>450</v>
      </c>
      <c r="F253" s="50"/>
      <c r="G253" s="50" t="s">
        <v>445</v>
      </c>
      <c r="H253" s="50" t="s">
        <v>446</v>
      </c>
      <c r="I253" s="48" t="s">
        <v>451</v>
      </c>
      <c r="J253" s="48" t="s">
        <v>448</v>
      </c>
      <c r="K253" s="41" t="s">
        <v>452</v>
      </c>
      <c r="L253" s="49" t="s">
        <v>328</v>
      </c>
      <c r="M253" s="45">
        <v>43760</v>
      </c>
      <c r="N253" s="46" t="s">
        <v>320</v>
      </c>
      <c r="O253" s="46" t="s">
        <v>81</v>
      </c>
      <c r="P253" s="1" t="s">
        <v>0</v>
      </c>
    </row>
    <row r="254" spans="1:16" s="1" customFormat="1" ht="15.75" thickBot="1" x14ac:dyDescent="0.3">
      <c r="A254" s="41" t="s">
        <v>737</v>
      </c>
      <c r="B254" s="41" t="s">
        <v>461</v>
      </c>
      <c r="C254" s="41" t="s">
        <v>462</v>
      </c>
      <c r="D254" s="41" t="s">
        <v>437</v>
      </c>
      <c r="E254" s="41" t="s">
        <v>444</v>
      </c>
      <c r="F254" s="50"/>
      <c r="G254" s="50" t="s">
        <v>453</v>
      </c>
      <c r="H254" s="50" t="s">
        <v>454</v>
      </c>
      <c r="I254" s="48" t="s">
        <v>447</v>
      </c>
      <c r="J254" s="48" t="s">
        <v>455</v>
      </c>
      <c r="K254" s="41" t="s">
        <v>449</v>
      </c>
      <c r="L254" s="49" t="s">
        <v>456</v>
      </c>
      <c r="M254" s="45">
        <v>43760</v>
      </c>
      <c r="N254" s="46" t="s">
        <v>320</v>
      </c>
      <c r="O254" s="46" t="s">
        <v>81</v>
      </c>
      <c r="P254" s="1" t="s">
        <v>0</v>
      </c>
    </row>
    <row r="255" spans="1:16" s="1" customFormat="1" ht="15.75" thickBot="1" x14ac:dyDescent="0.3">
      <c r="A255" s="41" t="s">
        <v>738</v>
      </c>
      <c r="B255" s="41" t="s">
        <v>461</v>
      </c>
      <c r="C255" s="41" t="s">
        <v>462</v>
      </c>
      <c r="D255" s="41" t="s">
        <v>437</v>
      </c>
      <c r="E255" s="41" t="s">
        <v>450</v>
      </c>
      <c r="F255" s="50"/>
      <c r="G255" s="50" t="s">
        <v>453</v>
      </c>
      <c r="H255" s="50" t="s">
        <v>454</v>
      </c>
      <c r="I255" s="48" t="s">
        <v>451</v>
      </c>
      <c r="J255" s="48" t="s">
        <v>455</v>
      </c>
      <c r="K255" s="41" t="s">
        <v>452</v>
      </c>
      <c r="L255" s="49" t="s">
        <v>456</v>
      </c>
      <c r="M255" s="45">
        <v>43760</v>
      </c>
      <c r="N255" s="46" t="s">
        <v>320</v>
      </c>
      <c r="O255" s="46" t="s">
        <v>81</v>
      </c>
      <c r="P255" s="1" t="s">
        <v>0</v>
      </c>
    </row>
    <row r="256" spans="1:16" s="1" customFormat="1" ht="15.75" thickBot="1" x14ac:dyDescent="0.3">
      <c r="A256" s="41" t="s">
        <v>739</v>
      </c>
      <c r="B256" s="41" t="s">
        <v>461</v>
      </c>
      <c r="C256" s="41" t="s">
        <v>462</v>
      </c>
      <c r="D256" s="41" t="s">
        <v>437</v>
      </c>
      <c r="E256" s="41" t="s">
        <v>450</v>
      </c>
      <c r="F256" s="50"/>
      <c r="G256" s="50"/>
      <c r="H256" s="50" t="s">
        <v>457</v>
      </c>
      <c r="I256" s="48" t="s">
        <v>458</v>
      </c>
      <c r="J256" s="48" t="s">
        <v>459</v>
      </c>
      <c r="K256" s="41" t="s">
        <v>460</v>
      </c>
      <c r="L256" s="49" t="s">
        <v>328</v>
      </c>
      <c r="M256" s="45">
        <v>43760</v>
      </c>
      <c r="N256" s="46" t="s">
        <v>320</v>
      </c>
      <c r="O256" s="46" t="s">
        <v>81</v>
      </c>
      <c r="P256" s="1" t="s">
        <v>0</v>
      </c>
    </row>
    <row r="257" spans="1:16" s="1" customFormat="1" ht="15.75" thickBot="1" x14ac:dyDescent="0.3">
      <c r="A257" s="41" t="s">
        <v>740</v>
      </c>
      <c r="B257" s="41" t="s">
        <v>463</v>
      </c>
      <c r="C257" s="41" t="s">
        <v>464</v>
      </c>
      <c r="D257" s="41" t="s">
        <v>437</v>
      </c>
      <c r="E257" s="41" t="s">
        <v>33</v>
      </c>
      <c r="F257" s="50"/>
      <c r="G257" s="50" t="s">
        <v>798</v>
      </c>
      <c r="H257" s="50" t="s">
        <v>799</v>
      </c>
      <c r="I257" s="41" t="s">
        <v>316</v>
      </c>
      <c r="J257" s="48" t="s">
        <v>797</v>
      </c>
      <c r="K257" s="41" t="s">
        <v>34</v>
      </c>
      <c r="L257" s="44" t="s">
        <v>92</v>
      </c>
      <c r="M257" s="45">
        <v>43945</v>
      </c>
      <c r="N257" s="46" t="s">
        <v>320</v>
      </c>
      <c r="O257" s="46" t="s">
        <v>81</v>
      </c>
      <c r="P257" s="1" t="s">
        <v>0</v>
      </c>
    </row>
    <row r="258" spans="1:16" s="1" customFormat="1" ht="15.75" thickBot="1" x14ac:dyDescent="0.3">
      <c r="A258" s="41" t="s">
        <v>741</v>
      </c>
      <c r="B258" s="41" t="s">
        <v>463</v>
      </c>
      <c r="C258" s="41" t="s">
        <v>464</v>
      </c>
      <c r="D258" s="41" t="s">
        <v>437</v>
      </c>
      <c r="E258" s="41" t="s">
        <v>29</v>
      </c>
      <c r="F258" s="50"/>
      <c r="G258" s="50" t="s">
        <v>798</v>
      </c>
      <c r="H258" s="50" t="s">
        <v>799</v>
      </c>
      <c r="I258" s="41" t="s">
        <v>31</v>
      </c>
      <c r="J258" s="48" t="s">
        <v>797</v>
      </c>
      <c r="K258" s="41" t="s">
        <v>31</v>
      </c>
      <c r="L258" s="44" t="s">
        <v>92</v>
      </c>
      <c r="M258" s="45">
        <v>43945</v>
      </c>
      <c r="N258" s="46" t="s">
        <v>320</v>
      </c>
      <c r="O258" s="46" t="s">
        <v>81</v>
      </c>
      <c r="P258" s="1" t="s">
        <v>0</v>
      </c>
    </row>
    <row r="259" spans="1:16" s="1" customFormat="1" ht="15.75" thickBot="1" x14ac:dyDescent="0.3">
      <c r="A259" s="41" t="s">
        <v>742</v>
      </c>
      <c r="B259" s="41" t="s">
        <v>463</v>
      </c>
      <c r="C259" s="41" t="s">
        <v>464</v>
      </c>
      <c r="D259" s="41" t="s">
        <v>437</v>
      </c>
      <c r="E259" s="41" t="s">
        <v>20</v>
      </c>
      <c r="F259" s="50"/>
      <c r="G259" s="50" t="s">
        <v>438</v>
      </c>
      <c r="H259" s="50" t="s">
        <v>438</v>
      </c>
      <c r="I259" s="41" t="s">
        <v>439</v>
      </c>
      <c r="J259" s="48" t="s">
        <v>440</v>
      </c>
      <c r="K259" s="41" t="s">
        <v>441</v>
      </c>
      <c r="L259" s="49" t="s">
        <v>442</v>
      </c>
      <c r="M259" s="45">
        <v>43818</v>
      </c>
      <c r="N259" s="46" t="s">
        <v>320</v>
      </c>
      <c r="O259" s="46" t="s">
        <v>81</v>
      </c>
      <c r="P259" s="1" t="s">
        <v>0</v>
      </c>
    </row>
    <row r="260" spans="1:16" s="1" customFormat="1" ht="15.75" thickBot="1" x14ac:dyDescent="0.3">
      <c r="A260" s="41" t="s">
        <v>743</v>
      </c>
      <c r="B260" s="41" t="s">
        <v>463</v>
      </c>
      <c r="C260" s="41" t="s">
        <v>464</v>
      </c>
      <c r="D260" s="41" t="s">
        <v>437</v>
      </c>
      <c r="E260" s="41" t="s">
        <v>33</v>
      </c>
      <c r="F260" s="50"/>
      <c r="G260" s="50" t="s">
        <v>438</v>
      </c>
      <c r="H260" s="50" t="s">
        <v>438</v>
      </c>
      <c r="I260" s="48" t="s">
        <v>355</v>
      </c>
      <c r="J260" s="48" t="s">
        <v>440</v>
      </c>
      <c r="K260" s="41" t="s">
        <v>443</v>
      </c>
      <c r="L260" s="49" t="s">
        <v>442</v>
      </c>
      <c r="M260" s="45">
        <v>43818</v>
      </c>
      <c r="N260" s="46" t="s">
        <v>320</v>
      </c>
      <c r="O260" s="46" t="s">
        <v>81</v>
      </c>
      <c r="P260" s="1" t="s">
        <v>0</v>
      </c>
    </row>
    <row r="261" spans="1:16" s="1" customFormat="1" ht="15.75" thickBot="1" x14ac:dyDescent="0.3">
      <c r="A261" s="41" t="s">
        <v>744</v>
      </c>
      <c r="B261" s="41" t="s">
        <v>463</v>
      </c>
      <c r="C261" s="41" t="s">
        <v>464</v>
      </c>
      <c r="D261" s="41" t="s">
        <v>437</v>
      </c>
      <c r="E261" s="41" t="s">
        <v>444</v>
      </c>
      <c r="F261" s="50"/>
      <c r="G261" s="50" t="s">
        <v>445</v>
      </c>
      <c r="H261" s="50" t="s">
        <v>446</v>
      </c>
      <c r="I261" s="48" t="s">
        <v>447</v>
      </c>
      <c r="J261" s="48" t="s">
        <v>448</v>
      </c>
      <c r="K261" s="41" t="s">
        <v>449</v>
      </c>
      <c r="L261" s="49" t="s">
        <v>328</v>
      </c>
      <c r="M261" s="45">
        <v>43760</v>
      </c>
      <c r="N261" s="46" t="s">
        <v>320</v>
      </c>
      <c r="O261" s="46" t="s">
        <v>81</v>
      </c>
      <c r="P261" s="1" t="s">
        <v>0</v>
      </c>
    </row>
    <row r="262" spans="1:16" s="1" customFormat="1" ht="15.75" thickBot="1" x14ac:dyDescent="0.3">
      <c r="A262" s="41" t="s">
        <v>745</v>
      </c>
      <c r="B262" s="41" t="s">
        <v>463</v>
      </c>
      <c r="C262" s="41" t="s">
        <v>464</v>
      </c>
      <c r="D262" s="41" t="s">
        <v>437</v>
      </c>
      <c r="E262" s="41" t="s">
        <v>450</v>
      </c>
      <c r="F262" s="50"/>
      <c r="G262" s="50" t="s">
        <v>445</v>
      </c>
      <c r="H262" s="50" t="s">
        <v>446</v>
      </c>
      <c r="I262" s="48" t="s">
        <v>451</v>
      </c>
      <c r="J262" s="48" t="s">
        <v>448</v>
      </c>
      <c r="K262" s="41" t="s">
        <v>452</v>
      </c>
      <c r="L262" s="49" t="s">
        <v>328</v>
      </c>
      <c r="M262" s="45">
        <v>43760</v>
      </c>
      <c r="N262" s="46" t="s">
        <v>320</v>
      </c>
      <c r="O262" s="46" t="s">
        <v>81</v>
      </c>
      <c r="P262" s="1" t="s">
        <v>0</v>
      </c>
    </row>
    <row r="263" spans="1:16" s="1" customFormat="1" ht="15.75" thickBot="1" x14ac:dyDescent="0.3">
      <c r="A263" s="41" t="s">
        <v>746</v>
      </c>
      <c r="B263" s="41" t="s">
        <v>463</v>
      </c>
      <c r="C263" s="41" t="s">
        <v>464</v>
      </c>
      <c r="D263" s="41" t="s">
        <v>437</v>
      </c>
      <c r="E263" s="41" t="s">
        <v>444</v>
      </c>
      <c r="F263" s="50"/>
      <c r="G263" s="50" t="s">
        <v>453</v>
      </c>
      <c r="H263" s="50" t="s">
        <v>454</v>
      </c>
      <c r="I263" s="48" t="s">
        <v>447</v>
      </c>
      <c r="J263" s="48" t="s">
        <v>455</v>
      </c>
      <c r="K263" s="41" t="s">
        <v>449</v>
      </c>
      <c r="L263" s="49" t="s">
        <v>456</v>
      </c>
      <c r="M263" s="45">
        <v>43760</v>
      </c>
      <c r="N263" s="46" t="s">
        <v>320</v>
      </c>
      <c r="O263" s="46" t="s">
        <v>81</v>
      </c>
      <c r="P263" s="1" t="s">
        <v>0</v>
      </c>
    </row>
    <row r="264" spans="1:16" s="1" customFormat="1" ht="15.75" thickBot="1" x14ac:dyDescent="0.3">
      <c r="A264" s="41" t="s">
        <v>747</v>
      </c>
      <c r="B264" s="41" t="s">
        <v>463</v>
      </c>
      <c r="C264" s="41" t="s">
        <v>464</v>
      </c>
      <c r="D264" s="41" t="s">
        <v>437</v>
      </c>
      <c r="E264" s="41" t="s">
        <v>450</v>
      </c>
      <c r="F264" s="50"/>
      <c r="G264" s="50" t="s">
        <v>453</v>
      </c>
      <c r="H264" s="50" t="s">
        <v>454</v>
      </c>
      <c r="I264" s="48" t="s">
        <v>451</v>
      </c>
      <c r="J264" s="48" t="s">
        <v>455</v>
      </c>
      <c r="K264" s="41" t="s">
        <v>452</v>
      </c>
      <c r="L264" s="49" t="s">
        <v>456</v>
      </c>
      <c r="M264" s="45">
        <v>43760</v>
      </c>
      <c r="N264" s="46" t="s">
        <v>320</v>
      </c>
      <c r="O264" s="46" t="s">
        <v>81</v>
      </c>
      <c r="P264" s="1" t="s">
        <v>0</v>
      </c>
    </row>
    <row r="265" spans="1:16" s="1" customFormat="1" ht="15.75" thickBot="1" x14ac:dyDescent="0.3">
      <c r="A265" s="41" t="s">
        <v>748</v>
      </c>
      <c r="B265" s="53" t="s">
        <v>463</v>
      </c>
      <c r="C265" s="53" t="s">
        <v>464</v>
      </c>
      <c r="D265" s="53" t="s">
        <v>437</v>
      </c>
      <c r="E265" s="53" t="s">
        <v>450</v>
      </c>
      <c r="F265" s="54"/>
      <c r="G265" s="54"/>
      <c r="H265" s="54" t="s">
        <v>457</v>
      </c>
      <c r="I265" s="55" t="s">
        <v>458</v>
      </c>
      <c r="J265" s="55" t="s">
        <v>459</v>
      </c>
      <c r="K265" s="53" t="s">
        <v>460</v>
      </c>
      <c r="L265" s="56" t="s">
        <v>328</v>
      </c>
      <c r="M265" s="57">
        <v>43760</v>
      </c>
      <c r="N265" s="58" t="s">
        <v>320</v>
      </c>
      <c r="O265" s="46" t="s">
        <v>81</v>
      </c>
      <c r="P265" s="1" t="s">
        <v>0</v>
      </c>
    </row>
    <row r="266" spans="1:16" s="1" customFormat="1" ht="15.75" thickBot="1" x14ac:dyDescent="0.3">
      <c r="A266" s="41" t="s">
        <v>749</v>
      </c>
      <c r="B266" s="53"/>
      <c r="C266" s="53"/>
      <c r="D266" s="53"/>
      <c r="E266" s="53"/>
      <c r="F266" s="54"/>
      <c r="G266" s="54"/>
      <c r="H266" s="54"/>
      <c r="I266" s="55"/>
      <c r="J266" s="55"/>
      <c r="K266" s="53"/>
      <c r="L266" s="56"/>
      <c r="M266" s="57"/>
      <c r="N266" s="58"/>
      <c r="O266" s="46"/>
      <c r="P266" s="1" t="s">
        <v>0</v>
      </c>
    </row>
    <row r="267" spans="1:16" s="1" customFormat="1" ht="15.75" thickBot="1" x14ac:dyDescent="0.3">
      <c r="A267" s="41" t="s">
        <v>750</v>
      </c>
      <c r="B267" s="53"/>
      <c r="C267" s="53"/>
      <c r="D267" s="53"/>
      <c r="E267" s="53"/>
      <c r="F267" s="54"/>
      <c r="G267" s="54"/>
      <c r="H267" s="54"/>
      <c r="I267" s="55"/>
      <c r="J267" s="55"/>
      <c r="K267" s="53"/>
      <c r="L267" s="56"/>
      <c r="M267" s="57"/>
      <c r="N267" s="58"/>
      <c r="O267" s="46"/>
      <c r="P267" s="1" t="s">
        <v>0</v>
      </c>
    </row>
    <row r="268" spans="1:16" s="1" customFormat="1" ht="15.75" thickBot="1" x14ac:dyDescent="0.3">
      <c r="A268" s="41" t="s">
        <v>751</v>
      </c>
      <c r="B268" s="53"/>
      <c r="C268" s="53"/>
      <c r="D268" s="53"/>
      <c r="E268" s="53"/>
      <c r="F268" s="54"/>
      <c r="G268" s="54"/>
      <c r="H268" s="54"/>
      <c r="I268" s="55"/>
      <c r="J268" s="55"/>
      <c r="K268" s="53"/>
      <c r="L268" s="56"/>
      <c r="M268" s="57"/>
      <c r="N268" s="58"/>
      <c r="O268" s="46"/>
      <c r="P268" s="1" t="s">
        <v>0</v>
      </c>
    </row>
    <row r="269" spans="1:16" s="1" customFormat="1" ht="15.75" thickBot="1" x14ac:dyDescent="0.3">
      <c r="A269" s="41" t="s">
        <v>752</v>
      </c>
      <c r="B269" s="53"/>
      <c r="C269" s="53"/>
      <c r="D269" s="53"/>
      <c r="E269" s="53"/>
      <c r="F269" s="54"/>
      <c r="G269" s="54"/>
      <c r="H269" s="54"/>
      <c r="I269" s="55"/>
      <c r="J269" s="55"/>
      <c r="K269" s="53"/>
      <c r="L269" s="56"/>
      <c r="M269" s="57"/>
      <c r="N269" s="58"/>
      <c r="O269" s="46"/>
      <c r="P269" s="1" t="s">
        <v>0</v>
      </c>
    </row>
    <row r="270" spans="1:16" s="1" customFormat="1" ht="15.75" thickBot="1" x14ac:dyDescent="0.3">
      <c r="A270" s="41" t="s">
        <v>753</v>
      </c>
      <c r="B270" s="53"/>
      <c r="C270" s="53"/>
      <c r="D270" s="53"/>
      <c r="E270" s="53"/>
      <c r="F270" s="54"/>
      <c r="G270" s="54"/>
      <c r="H270" s="54"/>
      <c r="I270" s="55"/>
      <c r="J270" s="55"/>
      <c r="K270" s="53"/>
      <c r="L270" s="56"/>
      <c r="M270" s="57"/>
      <c r="N270" s="58"/>
      <c r="O270" s="46"/>
      <c r="P270" s="1" t="s">
        <v>0</v>
      </c>
    </row>
    <row r="271" spans="1:16" s="1" customFormat="1" ht="15.75" thickBot="1" x14ac:dyDescent="0.3">
      <c r="A271" s="41" t="s">
        <v>754</v>
      </c>
      <c r="B271" s="53"/>
      <c r="C271" s="53"/>
      <c r="D271" s="53"/>
      <c r="E271" s="53"/>
      <c r="F271" s="54"/>
      <c r="G271" s="54"/>
      <c r="H271" s="54"/>
      <c r="I271" s="55"/>
      <c r="J271" s="55"/>
      <c r="K271" s="53"/>
      <c r="L271" s="56"/>
      <c r="M271" s="57"/>
      <c r="N271" s="58"/>
      <c r="O271" s="46"/>
      <c r="P271" s="1" t="s">
        <v>0</v>
      </c>
    </row>
    <row r="272" spans="1:16" s="1" customFormat="1" ht="15.75" thickBot="1" x14ac:dyDescent="0.3">
      <c r="A272" s="41" t="s">
        <v>755</v>
      </c>
      <c r="B272" s="53"/>
      <c r="C272" s="53"/>
      <c r="D272" s="53"/>
      <c r="E272" s="53"/>
      <c r="F272" s="54"/>
      <c r="G272" s="54"/>
      <c r="H272" s="54"/>
      <c r="I272" s="55"/>
      <c r="J272" s="55"/>
      <c r="K272" s="53"/>
      <c r="L272" s="56"/>
      <c r="M272" s="57"/>
      <c r="N272" s="58"/>
      <c r="O272" s="46"/>
      <c r="P272" s="1" t="s">
        <v>0</v>
      </c>
    </row>
    <row r="273" spans="1:16" s="1" customFormat="1" ht="15.75" thickBot="1" x14ac:dyDescent="0.3">
      <c r="A273" s="41" t="s">
        <v>756</v>
      </c>
      <c r="B273" s="53"/>
      <c r="C273" s="53"/>
      <c r="D273" s="53"/>
      <c r="E273" s="53"/>
      <c r="F273" s="54"/>
      <c r="G273" s="54"/>
      <c r="H273" s="54"/>
      <c r="I273" s="55"/>
      <c r="J273" s="55"/>
      <c r="K273" s="53"/>
      <c r="L273" s="56"/>
      <c r="M273" s="57"/>
      <c r="N273" s="58"/>
      <c r="O273" s="46"/>
      <c r="P273" s="1" t="s">
        <v>0</v>
      </c>
    </row>
    <row r="274" spans="1:16" s="1" customFormat="1" ht="15.75" thickBot="1" x14ac:dyDescent="0.3">
      <c r="A274" s="41" t="s">
        <v>757</v>
      </c>
      <c r="B274" s="53"/>
      <c r="C274" s="53"/>
      <c r="D274" s="53"/>
      <c r="E274" s="53"/>
      <c r="F274" s="54"/>
      <c r="G274" s="54"/>
      <c r="H274" s="54"/>
      <c r="I274" s="55"/>
      <c r="J274" s="55"/>
      <c r="K274" s="53"/>
      <c r="L274" s="56"/>
      <c r="M274" s="57"/>
      <c r="N274" s="58"/>
      <c r="O274" s="46"/>
      <c r="P274" s="1" t="s">
        <v>0</v>
      </c>
    </row>
    <row r="275" spans="1:16" s="1" customFormat="1" ht="15.75" thickBot="1" x14ac:dyDescent="0.3">
      <c r="A275" s="41" t="s">
        <v>758</v>
      </c>
      <c r="B275" s="53"/>
      <c r="C275" s="53"/>
      <c r="D275" s="53"/>
      <c r="E275" s="53"/>
      <c r="F275" s="54"/>
      <c r="G275" s="54"/>
      <c r="H275" s="54"/>
      <c r="I275" s="55"/>
      <c r="J275" s="55"/>
      <c r="K275" s="53"/>
      <c r="L275" s="56"/>
      <c r="M275" s="57"/>
      <c r="N275" s="58"/>
      <c r="O275" s="46"/>
      <c r="P275" s="1" t="s">
        <v>0</v>
      </c>
    </row>
    <row r="276" spans="1:16" s="1" customFormat="1" ht="15.75" thickBot="1" x14ac:dyDescent="0.3">
      <c r="A276" s="41" t="s">
        <v>759</v>
      </c>
      <c r="B276" s="53"/>
      <c r="C276" s="53"/>
      <c r="D276" s="53"/>
      <c r="E276" s="53"/>
      <c r="F276" s="54"/>
      <c r="G276" s="54"/>
      <c r="H276" s="54"/>
      <c r="I276" s="55"/>
      <c r="J276" s="55"/>
      <c r="K276" s="53"/>
      <c r="L276" s="56"/>
      <c r="M276" s="57"/>
      <c r="N276" s="58"/>
      <c r="O276" s="46"/>
      <c r="P276" s="1" t="s">
        <v>0</v>
      </c>
    </row>
    <row r="277" spans="1:16" s="1" customFormat="1" ht="15.75" thickBot="1" x14ac:dyDescent="0.3">
      <c r="A277" s="41" t="s">
        <v>760</v>
      </c>
      <c r="B277" s="53"/>
      <c r="C277" s="53"/>
      <c r="D277" s="53"/>
      <c r="E277" s="53"/>
      <c r="F277" s="54"/>
      <c r="G277" s="54"/>
      <c r="H277" s="54"/>
      <c r="I277" s="55"/>
      <c r="J277" s="55"/>
      <c r="K277" s="53"/>
      <c r="L277" s="56"/>
      <c r="M277" s="57"/>
      <c r="N277" s="58"/>
      <c r="O277" s="46"/>
      <c r="P277" s="1" t="s">
        <v>0</v>
      </c>
    </row>
    <row r="278" spans="1:16" s="1" customFormat="1" ht="15.75" thickBot="1" x14ac:dyDescent="0.3">
      <c r="A278" s="41" t="s">
        <v>761</v>
      </c>
      <c r="B278" s="53"/>
      <c r="C278" s="53"/>
      <c r="D278" s="53"/>
      <c r="E278" s="53"/>
      <c r="F278" s="54"/>
      <c r="G278" s="54"/>
      <c r="H278" s="54"/>
      <c r="I278" s="55"/>
      <c r="J278" s="55"/>
      <c r="K278" s="53"/>
      <c r="L278" s="56"/>
      <c r="M278" s="57"/>
      <c r="N278" s="58"/>
      <c r="O278" s="46"/>
      <c r="P278" s="1" t="s">
        <v>0</v>
      </c>
    </row>
    <row r="279" spans="1:16" s="1" customFormat="1" ht="15.75" thickBot="1" x14ac:dyDescent="0.3">
      <c r="A279" s="41" t="s">
        <v>762</v>
      </c>
      <c r="B279" s="53"/>
      <c r="C279" s="53"/>
      <c r="D279" s="53"/>
      <c r="E279" s="53"/>
      <c r="F279" s="54"/>
      <c r="G279" s="54"/>
      <c r="H279" s="54"/>
      <c r="I279" s="55"/>
      <c r="J279" s="55"/>
      <c r="K279" s="53"/>
      <c r="L279" s="56"/>
      <c r="M279" s="57"/>
      <c r="N279" s="58"/>
      <c r="O279" s="46"/>
      <c r="P279" s="1" t="s">
        <v>0</v>
      </c>
    </row>
    <row r="280" spans="1:16" s="1" customFormat="1" ht="15.75" thickBot="1" x14ac:dyDescent="0.3">
      <c r="A280" s="41" t="s">
        <v>763</v>
      </c>
      <c r="B280" s="53"/>
      <c r="C280" s="53"/>
      <c r="D280" s="53"/>
      <c r="E280" s="53"/>
      <c r="F280" s="54"/>
      <c r="G280" s="54"/>
      <c r="H280" s="54"/>
      <c r="I280" s="55"/>
      <c r="J280" s="55"/>
      <c r="K280" s="53"/>
      <c r="L280" s="56"/>
      <c r="M280" s="57"/>
      <c r="N280" s="58"/>
      <c r="O280" s="46"/>
      <c r="P280" s="1" t="s">
        <v>0</v>
      </c>
    </row>
    <row r="281" spans="1:16" s="1" customFormat="1" ht="15.75" thickBot="1" x14ac:dyDescent="0.3">
      <c r="A281" s="41" t="s">
        <v>764</v>
      </c>
      <c r="B281" s="53"/>
      <c r="C281" s="53"/>
      <c r="D281" s="53"/>
      <c r="E281" s="53"/>
      <c r="F281" s="54"/>
      <c r="G281" s="54"/>
      <c r="H281" s="54"/>
      <c r="I281" s="55"/>
      <c r="J281" s="55"/>
      <c r="K281" s="53"/>
      <c r="L281" s="56"/>
      <c r="M281" s="57"/>
      <c r="N281" s="58"/>
      <c r="O281" s="46"/>
      <c r="P281" s="1" t="s">
        <v>0</v>
      </c>
    </row>
    <row r="282" spans="1:16" s="1" customFormat="1" ht="15.75" thickBot="1" x14ac:dyDescent="0.3">
      <c r="A282" s="41" t="s">
        <v>765</v>
      </c>
      <c r="B282" s="53"/>
      <c r="C282" s="53"/>
      <c r="D282" s="53"/>
      <c r="E282" s="53"/>
      <c r="F282" s="54"/>
      <c r="G282" s="54"/>
      <c r="H282" s="54"/>
      <c r="I282" s="55"/>
      <c r="J282" s="55"/>
      <c r="K282" s="53"/>
      <c r="L282" s="56"/>
      <c r="M282" s="57"/>
      <c r="N282" s="58"/>
      <c r="O282" s="46"/>
      <c r="P282" s="1" t="s">
        <v>0</v>
      </c>
    </row>
    <row r="283" spans="1:16" s="1" customFormat="1" ht="15.75" thickBot="1" x14ac:dyDescent="0.3">
      <c r="A283" s="41" t="s">
        <v>766</v>
      </c>
      <c r="B283" s="53"/>
      <c r="C283" s="53"/>
      <c r="D283" s="53"/>
      <c r="E283" s="53"/>
      <c r="F283" s="54"/>
      <c r="G283" s="54"/>
      <c r="H283" s="54"/>
      <c r="I283" s="55"/>
      <c r="J283" s="55"/>
      <c r="K283" s="53"/>
      <c r="L283" s="56"/>
      <c r="M283" s="57"/>
      <c r="N283" s="58"/>
      <c r="O283" s="46"/>
      <c r="P283" s="1" t="s">
        <v>0</v>
      </c>
    </row>
    <row r="284" spans="1:16" s="1" customFormat="1" ht="15.75" thickBot="1" x14ac:dyDescent="0.3">
      <c r="A284" s="41" t="s">
        <v>767</v>
      </c>
      <c r="B284" s="53"/>
      <c r="C284" s="53"/>
      <c r="D284" s="53"/>
      <c r="E284" s="53"/>
      <c r="F284" s="54"/>
      <c r="G284" s="54"/>
      <c r="H284" s="54"/>
      <c r="I284" s="55"/>
      <c r="J284" s="55"/>
      <c r="K284" s="53"/>
      <c r="L284" s="56"/>
      <c r="M284" s="57"/>
      <c r="N284" s="58"/>
      <c r="O284" s="46"/>
      <c r="P284" s="1" t="s">
        <v>0</v>
      </c>
    </row>
    <row r="285" spans="1:16" s="1" customFormat="1" ht="15.75" thickBot="1" x14ac:dyDescent="0.3">
      <c r="A285" s="41" t="s">
        <v>768</v>
      </c>
      <c r="B285" s="53"/>
      <c r="C285" s="53"/>
      <c r="D285" s="53"/>
      <c r="E285" s="53"/>
      <c r="F285" s="54"/>
      <c r="G285" s="54"/>
      <c r="H285" s="54"/>
      <c r="I285" s="55"/>
      <c r="J285" s="55"/>
      <c r="K285" s="53"/>
      <c r="L285" s="56"/>
      <c r="M285" s="57"/>
      <c r="N285" s="58"/>
      <c r="O285" s="46"/>
      <c r="P285" s="1" t="s">
        <v>0</v>
      </c>
    </row>
    <row r="286" spans="1:16" s="1" customFormat="1" ht="15.75" thickBot="1" x14ac:dyDescent="0.3">
      <c r="A286" s="41" t="s">
        <v>769</v>
      </c>
      <c r="B286" s="53"/>
      <c r="C286" s="53"/>
      <c r="D286" s="53"/>
      <c r="E286" s="53"/>
      <c r="F286" s="54"/>
      <c r="G286" s="54"/>
      <c r="H286" s="54"/>
      <c r="I286" s="55"/>
      <c r="J286" s="55"/>
      <c r="K286" s="53"/>
      <c r="L286" s="56"/>
      <c r="M286" s="57"/>
      <c r="N286" s="58"/>
      <c r="O286" s="46"/>
      <c r="P286" s="1" t="s">
        <v>0</v>
      </c>
    </row>
    <row r="287" spans="1:16" s="1" customFormat="1" ht="15.75" thickBot="1" x14ac:dyDescent="0.3">
      <c r="A287" s="41" t="s">
        <v>770</v>
      </c>
      <c r="B287" s="53"/>
      <c r="C287" s="53"/>
      <c r="D287" s="53"/>
      <c r="E287" s="53"/>
      <c r="F287" s="54"/>
      <c r="G287" s="54"/>
      <c r="H287" s="54"/>
      <c r="I287" s="55"/>
      <c r="J287" s="55"/>
      <c r="K287" s="53"/>
      <c r="L287" s="56"/>
      <c r="M287" s="57"/>
      <c r="N287" s="58"/>
      <c r="O287" s="46"/>
      <c r="P287" s="1" t="s">
        <v>0</v>
      </c>
    </row>
    <row r="288" spans="1:16" s="1" customFormat="1" ht="15.75" thickBot="1" x14ac:dyDescent="0.3">
      <c r="A288" s="41" t="s">
        <v>771</v>
      </c>
      <c r="B288" s="53"/>
      <c r="C288" s="53"/>
      <c r="D288" s="53"/>
      <c r="E288" s="53"/>
      <c r="F288" s="54"/>
      <c r="G288" s="54"/>
      <c r="H288" s="54"/>
      <c r="I288" s="55"/>
      <c r="J288" s="55"/>
      <c r="K288" s="53"/>
      <c r="L288" s="56"/>
      <c r="M288" s="57"/>
      <c r="N288" s="58"/>
      <c r="O288" s="46"/>
      <c r="P288" s="1" t="s">
        <v>0</v>
      </c>
    </row>
    <row r="289" spans="1:15" s="1" customFormat="1" ht="15.75" thickBot="1" x14ac:dyDescent="0.3">
      <c r="A289" s="41" t="s">
        <v>772</v>
      </c>
      <c r="B289" s="53"/>
      <c r="C289" s="53"/>
      <c r="D289" s="53"/>
      <c r="E289" s="53"/>
      <c r="F289" s="54"/>
      <c r="G289" s="54"/>
      <c r="H289" s="54"/>
      <c r="I289" s="55"/>
      <c r="J289" s="55"/>
      <c r="K289" s="53"/>
      <c r="L289" s="56"/>
      <c r="M289" s="57"/>
      <c r="N289" s="58"/>
      <c r="O289" s="46"/>
    </row>
    <row r="290" spans="1:15" s="1" customFormat="1" ht="15.75" thickBot="1" x14ac:dyDescent="0.3">
      <c r="A290" s="41" t="s">
        <v>773</v>
      </c>
      <c r="B290" s="53"/>
      <c r="C290" s="53"/>
      <c r="D290" s="53"/>
      <c r="E290" s="53"/>
      <c r="F290" s="54"/>
      <c r="G290" s="54"/>
      <c r="H290" s="54"/>
      <c r="I290" s="55"/>
      <c r="J290" s="55"/>
      <c r="K290" s="53"/>
      <c r="L290" s="56"/>
      <c r="M290" s="57"/>
      <c r="N290" s="58"/>
      <c r="O290" s="46"/>
    </row>
    <row r="291" spans="1:15" s="1" customFormat="1" ht="15.75" thickBot="1" x14ac:dyDescent="0.3">
      <c r="A291" s="41" t="s">
        <v>774</v>
      </c>
      <c r="B291" s="53"/>
      <c r="C291" s="53"/>
      <c r="D291" s="53"/>
      <c r="E291" s="53"/>
      <c r="F291" s="54"/>
      <c r="G291" s="54"/>
      <c r="H291" s="54"/>
      <c r="I291" s="55"/>
      <c r="J291" s="55"/>
      <c r="K291" s="53"/>
      <c r="L291" s="56"/>
      <c r="M291" s="57"/>
      <c r="N291" s="58"/>
      <c r="O291" s="46"/>
    </row>
    <row r="292" spans="1:15" s="1" customFormat="1" ht="15.75" thickBot="1" x14ac:dyDescent="0.3">
      <c r="A292" s="41" t="s">
        <v>775</v>
      </c>
      <c r="B292" s="53"/>
      <c r="C292" s="53"/>
      <c r="D292" s="53"/>
      <c r="E292" s="53"/>
      <c r="F292" s="54"/>
      <c r="G292" s="54"/>
      <c r="H292" s="54"/>
      <c r="I292" s="55"/>
      <c r="J292" s="55"/>
      <c r="K292" s="53"/>
      <c r="L292" s="56"/>
      <c r="M292" s="57"/>
      <c r="N292" s="58"/>
      <c r="O292" s="46"/>
    </row>
    <row r="293" spans="1:15" s="1" customFormat="1" ht="15.75" thickBot="1" x14ac:dyDescent="0.3">
      <c r="A293" s="41" t="s">
        <v>776</v>
      </c>
      <c r="B293" s="53"/>
      <c r="C293" s="53"/>
      <c r="D293" s="53"/>
      <c r="E293" s="53"/>
      <c r="F293" s="54"/>
      <c r="G293" s="54"/>
      <c r="H293" s="54"/>
      <c r="I293" s="55"/>
      <c r="J293" s="55"/>
      <c r="K293" s="53"/>
      <c r="L293" s="56"/>
      <c r="M293" s="57"/>
      <c r="N293" s="58"/>
      <c r="O293" s="46"/>
    </row>
    <row r="294" spans="1:15" s="1" customFormat="1" ht="15.75" thickBot="1" x14ac:dyDescent="0.3">
      <c r="A294" s="41" t="s">
        <v>777</v>
      </c>
      <c r="B294" s="53"/>
      <c r="C294" s="53"/>
      <c r="D294" s="53"/>
      <c r="E294" s="53"/>
      <c r="F294" s="54"/>
      <c r="G294" s="54"/>
      <c r="H294" s="54"/>
      <c r="I294" s="55"/>
      <c r="J294" s="55"/>
      <c r="K294" s="53"/>
      <c r="L294" s="56"/>
      <c r="M294" s="57"/>
      <c r="N294" s="58"/>
      <c r="O294" s="46"/>
    </row>
    <row r="295" spans="1:15" s="1" customFormat="1" ht="15.75" thickBot="1" x14ac:dyDescent="0.3">
      <c r="A295" s="41" t="s">
        <v>778</v>
      </c>
      <c r="B295" s="53"/>
      <c r="C295" s="53"/>
      <c r="D295" s="53"/>
      <c r="E295" s="53"/>
      <c r="F295" s="54"/>
      <c r="G295" s="54"/>
      <c r="H295" s="54"/>
      <c r="I295" s="55"/>
      <c r="J295" s="55"/>
      <c r="K295" s="53"/>
      <c r="L295" s="56"/>
      <c r="M295" s="57"/>
      <c r="N295" s="58"/>
      <c r="O295" s="46"/>
    </row>
    <row r="296" spans="1:15" s="1" customFormat="1" ht="15.75" thickBot="1" x14ac:dyDescent="0.3">
      <c r="A296" s="41" t="s">
        <v>779</v>
      </c>
      <c r="B296" s="53"/>
      <c r="C296" s="53"/>
      <c r="D296" s="53"/>
      <c r="E296" s="53"/>
      <c r="F296" s="54"/>
      <c r="G296" s="54"/>
      <c r="H296" s="54"/>
      <c r="I296" s="55"/>
      <c r="J296" s="55"/>
      <c r="K296" s="53"/>
      <c r="L296" s="56"/>
      <c r="M296" s="57"/>
      <c r="N296" s="58"/>
      <c r="O296" s="46"/>
    </row>
    <row r="297" spans="1:15" s="1" customFormat="1" ht="15.75" thickBot="1" x14ac:dyDescent="0.3">
      <c r="A297" s="41" t="s">
        <v>780</v>
      </c>
      <c r="B297" s="53"/>
      <c r="C297" s="53"/>
      <c r="D297" s="53"/>
      <c r="E297" s="53"/>
      <c r="F297" s="54"/>
      <c r="G297" s="54"/>
      <c r="H297" s="54"/>
      <c r="I297" s="55"/>
      <c r="J297" s="55"/>
      <c r="K297" s="53"/>
      <c r="L297" s="56"/>
      <c r="M297" s="57"/>
      <c r="N297" s="58"/>
      <c r="O297" s="46"/>
    </row>
    <row r="298" spans="1:15" s="1" customFormat="1" ht="15.75" thickBot="1" x14ac:dyDescent="0.3">
      <c r="A298" s="41" t="s">
        <v>781</v>
      </c>
      <c r="B298" s="53"/>
      <c r="C298" s="53"/>
      <c r="D298" s="53"/>
      <c r="E298" s="53"/>
      <c r="F298" s="54"/>
      <c r="G298" s="54"/>
      <c r="H298" s="54"/>
      <c r="I298" s="55"/>
      <c r="J298" s="55"/>
      <c r="K298" s="53"/>
      <c r="L298" s="56"/>
      <c r="M298" s="57"/>
      <c r="N298" s="58"/>
      <c r="O298" s="46"/>
    </row>
    <row r="299" spans="1:15" s="1" customFormat="1" ht="15.75" thickBot="1" x14ac:dyDescent="0.3">
      <c r="A299" s="41" t="s">
        <v>782</v>
      </c>
      <c r="B299" s="53"/>
      <c r="C299" s="53"/>
      <c r="D299" s="53"/>
      <c r="E299" s="53"/>
      <c r="F299" s="54"/>
      <c r="G299" s="54"/>
      <c r="H299" s="54"/>
      <c r="I299" s="55"/>
      <c r="J299" s="55"/>
      <c r="K299" s="53"/>
      <c r="L299" s="56"/>
      <c r="M299" s="57"/>
      <c r="N299" s="58"/>
      <c r="O299" s="46"/>
    </row>
    <row r="300" spans="1:15" s="1" customFormat="1" ht="15.75" thickBot="1" x14ac:dyDescent="0.3">
      <c r="A300" s="41" t="s">
        <v>783</v>
      </c>
      <c r="B300" s="53"/>
      <c r="C300" s="53"/>
      <c r="D300" s="53"/>
      <c r="E300" s="53"/>
      <c r="F300" s="54"/>
      <c r="G300" s="54"/>
      <c r="H300" s="54"/>
      <c r="I300" s="55"/>
      <c r="J300" s="55"/>
      <c r="K300" s="53"/>
      <c r="L300" s="56"/>
      <c r="M300" s="57"/>
      <c r="N300" s="58"/>
      <c r="O300" s="46"/>
    </row>
    <row r="301" spans="1:15" s="1" customFormat="1" ht="15.75" thickBot="1" x14ac:dyDescent="0.3">
      <c r="A301" s="41" t="s">
        <v>784</v>
      </c>
      <c r="B301" s="53"/>
      <c r="C301" s="53"/>
      <c r="D301" s="53"/>
      <c r="E301" s="53"/>
      <c r="F301" s="54"/>
      <c r="G301" s="54"/>
      <c r="H301" s="54"/>
      <c r="I301" s="55"/>
      <c r="J301" s="55"/>
      <c r="K301" s="53"/>
      <c r="L301" s="56"/>
      <c r="M301" s="57"/>
      <c r="N301" s="58"/>
      <c r="O301" s="46"/>
    </row>
  </sheetData>
  <autoFilter ref="B1:O301" xr:uid="{00000000-0009-0000-0000-000003000000}"/>
  <phoneticPr fontId="17" type="noConversion"/>
  <pageMargins left="0.7" right="0.7" top="0.75" bottom="0.75" header="0.3" footer="0.3"/>
  <pageSetup scale="14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2_Click">
                <anchor moveWithCells="1" sizeWithCells="1">
                  <from>
                    <xdr:col>15</xdr:col>
                    <xdr:colOff>38100</xdr:colOff>
                    <xdr:row>0</xdr:row>
                    <xdr:rowOff>28575</xdr:rowOff>
                  </from>
                  <to>
                    <xdr:col>17</xdr:col>
                    <xdr:colOff>171450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F19"/>
  <sheetViews>
    <sheetView showGridLines="0" view="pageBreakPreview" zoomScale="190" zoomScaleSheetLayoutView="190" workbookViewId="0">
      <selection activeCell="C22" sqref="C22"/>
    </sheetView>
  </sheetViews>
  <sheetFormatPr defaultRowHeight="15" x14ac:dyDescent="0.25"/>
  <cols>
    <col min="1" max="1" width="20.85546875" customWidth="1"/>
    <col min="2" max="2" width="17.42578125" customWidth="1"/>
    <col min="3" max="3" width="14.7109375" bestFit="1" customWidth="1"/>
    <col min="4" max="4" width="13.42578125" bestFit="1" customWidth="1"/>
    <col min="5" max="5" width="14.7109375" bestFit="1" customWidth="1"/>
    <col min="6" max="6" width="17.28515625" bestFit="1" customWidth="1"/>
  </cols>
  <sheetData>
    <row r="1" spans="1:6" ht="21" thickBot="1" x14ac:dyDescent="0.35">
      <c r="A1" s="37" t="s">
        <v>16</v>
      </c>
      <c r="B1" s="62" t="s">
        <v>10</v>
      </c>
      <c r="C1" s="63"/>
      <c r="D1" s="63"/>
      <c r="E1" s="63"/>
      <c r="F1" s="64"/>
    </row>
    <row r="2" spans="1:6" ht="15.75" hidden="1" x14ac:dyDescent="0.25">
      <c r="A2" s="20" t="s">
        <v>9</v>
      </c>
      <c r="B2" s="32" t="s">
        <v>2</v>
      </c>
      <c r="C2" s="31" t="s">
        <v>11</v>
      </c>
      <c r="D2" s="31" t="s">
        <v>15</v>
      </c>
      <c r="E2" s="31" t="s">
        <v>14</v>
      </c>
      <c r="F2" s="30" t="s">
        <v>13</v>
      </c>
    </row>
    <row r="3" spans="1:6" ht="15.75" hidden="1" x14ac:dyDescent="0.25">
      <c r="A3" s="15" t="s">
        <v>2</v>
      </c>
      <c r="B3" s="14">
        <v>1</v>
      </c>
      <c r="C3" s="14">
        <f>1*1000</f>
        <v>1000</v>
      </c>
      <c r="D3" s="14">
        <f>C3*1000</f>
        <v>1000000</v>
      </c>
      <c r="E3" s="14">
        <f t="shared" ref="E3:F5" si="0">E4*1000</f>
        <v>1000000000</v>
      </c>
      <c r="F3" s="29">
        <f t="shared" si="0"/>
        <v>1000000000000</v>
      </c>
    </row>
    <row r="4" spans="1:6" ht="15.75" hidden="1" x14ac:dyDescent="0.25">
      <c r="A4" s="15" t="s">
        <v>11</v>
      </c>
      <c r="B4" s="14">
        <f>B3*1000</f>
        <v>1000</v>
      </c>
      <c r="C4" s="14">
        <v>1</v>
      </c>
      <c r="D4" s="14">
        <f>C4*1000</f>
        <v>1000</v>
      </c>
      <c r="E4" s="14">
        <f t="shared" si="0"/>
        <v>1000000</v>
      </c>
      <c r="F4" s="13">
        <f t="shared" si="0"/>
        <v>1000000000</v>
      </c>
    </row>
    <row r="5" spans="1:6" ht="15.75" hidden="1" x14ac:dyDescent="0.25">
      <c r="A5" s="15" t="s">
        <v>15</v>
      </c>
      <c r="B5" s="14">
        <f>B4*1000</f>
        <v>1000000</v>
      </c>
      <c r="C5" s="14">
        <v>1000</v>
      </c>
      <c r="D5" s="14">
        <v>1</v>
      </c>
      <c r="E5" s="14">
        <f t="shared" si="0"/>
        <v>1000</v>
      </c>
      <c r="F5" s="13">
        <f t="shared" si="0"/>
        <v>1000000</v>
      </c>
    </row>
    <row r="6" spans="1:6" ht="15.75" hidden="1" x14ac:dyDescent="0.25">
      <c r="A6" s="15" t="s">
        <v>14</v>
      </c>
      <c r="B6" s="14">
        <f>B5*1000</f>
        <v>1000000000</v>
      </c>
      <c r="C6" s="14">
        <f>C5*1000</f>
        <v>1000000</v>
      </c>
      <c r="D6" s="14">
        <f>D5*1000</f>
        <v>1000</v>
      </c>
      <c r="E6" s="14">
        <v>1</v>
      </c>
      <c r="F6" s="13">
        <f>F7*1000</f>
        <v>1000</v>
      </c>
    </row>
    <row r="7" spans="1:6" ht="15.75" hidden="1" x14ac:dyDescent="0.25">
      <c r="A7" s="15" t="s">
        <v>13</v>
      </c>
      <c r="B7" s="28">
        <f>B6*1000</f>
        <v>1000000000000</v>
      </c>
      <c r="C7" s="14">
        <f>C6*1000</f>
        <v>1000000000</v>
      </c>
      <c r="D7" s="14">
        <f>D6*1000</f>
        <v>1000000</v>
      </c>
      <c r="E7" s="14">
        <f>1000*E6</f>
        <v>1000</v>
      </c>
      <c r="F7" s="13">
        <v>1</v>
      </c>
    </row>
    <row r="8" spans="1:6" ht="32.25" hidden="1" thickBot="1" x14ac:dyDescent="0.3">
      <c r="A8" s="27" t="s">
        <v>12</v>
      </c>
      <c r="B8" s="26" t="s">
        <v>5</v>
      </c>
      <c r="C8" s="26" t="s">
        <v>4</v>
      </c>
      <c r="D8" s="70" t="s">
        <v>3</v>
      </c>
      <c r="E8" s="70"/>
      <c r="F8" s="71"/>
    </row>
    <row r="9" spans="1:6" ht="17.25" thickTop="1" thickBot="1" x14ac:dyDescent="0.3">
      <c r="A9" s="25"/>
      <c r="B9" s="35" t="s">
        <v>15</v>
      </c>
      <c r="C9" s="35" t="s">
        <v>2</v>
      </c>
      <c r="D9" s="72" t="str">
        <f>(INDEX(B3:F7,MATCH(B9,$A$3:$A$7,0),MATCH(C9,B2:F2,0))*A18)&amp;" "&amp;C9</f>
        <v>2000000 Ohms</v>
      </c>
      <c r="E9" s="72"/>
      <c r="F9" s="73"/>
    </row>
    <row r="10" spans="1:6" ht="16.5" hidden="1" thickTop="1" x14ac:dyDescent="0.25">
      <c r="A10" s="24"/>
      <c r="B10" s="23"/>
      <c r="C10" s="23"/>
      <c r="D10" s="22"/>
      <c r="E10" s="22"/>
      <c r="F10" s="21"/>
    </row>
    <row r="11" spans="1:6" ht="21" hidden="1" thickTop="1" x14ac:dyDescent="0.3">
      <c r="A11" s="67" t="s">
        <v>10</v>
      </c>
      <c r="B11" s="68"/>
      <c r="C11" s="68"/>
      <c r="D11" s="68"/>
      <c r="E11" s="68"/>
      <c r="F11" s="69"/>
    </row>
    <row r="12" spans="1:6" ht="15.75" hidden="1" x14ac:dyDescent="0.25">
      <c r="A12" s="20" t="s">
        <v>9</v>
      </c>
      <c r="B12" s="19" t="s">
        <v>2</v>
      </c>
      <c r="C12" s="18" t="s">
        <v>1</v>
      </c>
      <c r="D12" s="18" t="s">
        <v>8</v>
      </c>
      <c r="E12" s="18" t="s">
        <v>7</v>
      </c>
      <c r="F12" s="17" t="s">
        <v>6</v>
      </c>
    </row>
    <row r="13" spans="1:6" ht="15.75" hidden="1" x14ac:dyDescent="0.25">
      <c r="A13" s="15" t="s">
        <v>2</v>
      </c>
      <c r="B13" s="14">
        <v>1</v>
      </c>
      <c r="C13" s="14">
        <f>1/1000</f>
        <v>1E-3</v>
      </c>
      <c r="D13" s="14">
        <f>C13/1000</f>
        <v>9.9999999999999995E-7</v>
      </c>
      <c r="E13" s="14">
        <f t="shared" ref="E13:F15" si="1">E14/1000</f>
        <v>9.9999999999999986E-10</v>
      </c>
      <c r="F13" s="16">
        <f t="shared" si="1"/>
        <v>9.9999999999999978E-13</v>
      </c>
    </row>
    <row r="14" spans="1:6" ht="15.75" hidden="1" x14ac:dyDescent="0.25">
      <c r="A14" s="15" t="s">
        <v>1</v>
      </c>
      <c r="B14" s="14">
        <f>B13/1000</f>
        <v>1E-3</v>
      </c>
      <c r="C14" s="14">
        <v>1</v>
      </c>
      <c r="D14" s="14">
        <f>C14/1000</f>
        <v>1E-3</v>
      </c>
      <c r="E14" s="14">
        <f t="shared" si="1"/>
        <v>9.9999999999999995E-7</v>
      </c>
      <c r="F14" s="13">
        <f t="shared" si="1"/>
        <v>9.9999999999999986E-10</v>
      </c>
    </row>
    <row r="15" spans="1:6" ht="15.75" hidden="1" x14ac:dyDescent="0.25">
      <c r="A15" s="15" t="s">
        <v>8</v>
      </c>
      <c r="B15" s="14">
        <f>B14/1000</f>
        <v>9.9999999999999995E-7</v>
      </c>
      <c r="C15" s="14">
        <f>1/1000</f>
        <v>1E-3</v>
      </c>
      <c r="D15" s="14">
        <v>1</v>
      </c>
      <c r="E15" s="14">
        <f t="shared" si="1"/>
        <v>1E-3</v>
      </c>
      <c r="F15" s="13">
        <f t="shared" si="1"/>
        <v>9.9999999999999995E-7</v>
      </c>
    </row>
    <row r="16" spans="1:6" ht="15.75" hidden="1" x14ac:dyDescent="0.25">
      <c r="A16" s="15" t="s">
        <v>7</v>
      </c>
      <c r="B16" s="14">
        <f>B15/1000</f>
        <v>9.9999999999999986E-10</v>
      </c>
      <c r="C16" s="14">
        <f>C15/1000</f>
        <v>9.9999999999999995E-7</v>
      </c>
      <c r="D16" s="14">
        <f>D15/1000</f>
        <v>1E-3</v>
      </c>
      <c r="E16" s="14">
        <v>1</v>
      </c>
      <c r="F16" s="13">
        <f>F17/1000</f>
        <v>1E-3</v>
      </c>
    </row>
    <row r="17" spans="1:6" ht="16.5" hidden="1" thickBot="1" x14ac:dyDescent="0.3">
      <c r="A17" s="12" t="s">
        <v>6</v>
      </c>
      <c r="B17" s="11">
        <f>B16/1000</f>
        <v>9.9999999999999978E-13</v>
      </c>
      <c r="C17" s="10">
        <f>C16/1000</f>
        <v>9.9999999999999986E-10</v>
      </c>
      <c r="D17" s="10">
        <f>D16/1000</f>
        <v>9.9999999999999995E-7</v>
      </c>
      <c r="E17" s="10">
        <f>E16/1000</f>
        <v>1E-3</v>
      </c>
      <c r="F17" s="9">
        <v>1</v>
      </c>
    </row>
    <row r="18" spans="1:6" ht="33" thickTop="1" thickBot="1" x14ac:dyDescent="0.3">
      <c r="A18" s="33">
        <v>2</v>
      </c>
      <c r="B18" s="34" t="s">
        <v>5</v>
      </c>
      <c r="C18" s="34" t="s">
        <v>4</v>
      </c>
      <c r="D18" s="74" t="s">
        <v>3</v>
      </c>
      <c r="E18" s="74"/>
      <c r="F18" s="75"/>
    </row>
    <row r="19" spans="1:6" ht="16.5" thickBot="1" x14ac:dyDescent="0.3">
      <c r="A19" s="8"/>
      <c r="B19" s="36" t="s">
        <v>8</v>
      </c>
      <c r="C19" s="36" t="s">
        <v>2</v>
      </c>
      <c r="D19" s="65" t="str">
        <f>(INDEX(B13:F17,MATCH(B19,$A$13:$A$17,0),MATCH(C19,B12:F12,0))*A18)&amp;" "&amp;C19</f>
        <v>0,000002 Ohms</v>
      </c>
      <c r="E19" s="65"/>
      <c r="F19" s="66"/>
    </row>
  </sheetData>
  <mergeCells count="6">
    <mergeCell ref="B1:F1"/>
    <mergeCell ref="D19:F19"/>
    <mergeCell ref="A11:F11"/>
    <mergeCell ref="D8:F8"/>
    <mergeCell ref="D9:F9"/>
    <mergeCell ref="D18:F18"/>
  </mergeCells>
  <dataValidations count="2">
    <dataValidation type="list" allowBlank="1" showInputMessage="1" showErrorMessage="1" sqref="B19:C19" xr:uid="{00000000-0002-0000-0400-000000000000}">
      <formula1>$A$13:$A$17</formula1>
    </dataValidation>
    <dataValidation type="list" allowBlank="1" showInputMessage="1" showErrorMessage="1" sqref="B9:C10" xr:uid="{00000000-0002-0000-0400-000001000000}">
      <formula1>$A$3:$A$7</formula1>
    </dataValidation>
  </dataValidations>
  <pageMargins left="0.7" right="0.7" top="0.75" bottom="0.75" header="0.3" footer="0.3"/>
  <pageSetup scale="91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Button2_Click">
                <anchor moveWithCells="1" sizeWithCells="1">
                  <from>
                    <xdr:col>0</xdr:col>
                    <xdr:colOff>19050</xdr:colOff>
                    <xdr:row>19</xdr:row>
                    <xdr:rowOff>123825</xdr:rowOff>
                  </from>
                  <to>
                    <xdr:col>1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F62DD81-F3D1-4AAD-9E1D-D0A2C9D6053A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MENU</vt:lpstr>
      <vt:lpstr>Aux_1</vt:lpstr>
      <vt:lpstr>'Banco de Dados'!Print_Area</vt:lpstr>
      <vt:lpstr>DEV!Print_Area</vt:lpstr>
      <vt:lpstr>MENU!Print_Area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Checksum System</dc:title>
  <dc:creator>rafael.lisboa</dc:creator>
  <cp:lastModifiedBy>rafael.lisboa</cp:lastModifiedBy>
  <dcterms:created xsi:type="dcterms:W3CDTF">2006-09-16T00:00:00Z</dcterms:created>
  <dcterms:modified xsi:type="dcterms:W3CDTF">2020-07-02T12:12:57Z</dcterms:modified>
</cp:coreProperties>
</file>